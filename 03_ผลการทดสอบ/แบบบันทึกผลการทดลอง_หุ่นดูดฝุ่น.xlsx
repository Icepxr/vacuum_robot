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daiyazwaehama/Documents/vacuum_project/03_ผลการทดสอบ/"/>
    </mc:Choice>
  </mc:AlternateContent>
  <xr:revisionPtr revIDLastSave="0" documentId="13_ncr:1_{999849CD-E4BC-DD43-AB65-E76C04A674F7}" xr6:coauthVersionLast="47" xr6:coauthVersionMax="47" xr10:uidLastSave="{00000000-0000-0000-0000-000000000000}"/>
  <bookViews>
    <workbookView xWindow="0" yWindow="780" windowWidth="34200" windowHeight="21460" tabRatio="500" activeTab="4" xr2:uid="{00000000-000D-0000-FFFF-FFFF00000000}"/>
  </bookViews>
  <sheets>
    <sheet name="คู่มือการใช้งาน" sheetId="1" r:id="rId1"/>
    <sheet name="1.1 มอเตอร์ดูด" sheetId="2" r:id="rId2"/>
    <sheet name="1.2 การขับเคลื่อน" sheetId="3" r:id="rId3"/>
    <sheet name="1.3 การปัดกวาด" sheetId="4" r:id="rId4"/>
    <sheet name="1.4 Scissor Lift" sheetId="5" r:id="rId5"/>
    <sheet name="1.5 ทดสอบรวมระบบ" sheetId="6" r:id="rId6"/>
    <sheet name="สรุปผลรวม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7" l="1"/>
  <c r="C23" i="7"/>
  <c r="D22" i="7"/>
  <c r="D21" i="7"/>
  <c r="D17" i="7"/>
  <c r="C17" i="7"/>
  <c r="C16" i="7"/>
  <c r="D15" i="7"/>
  <c r="C14" i="7"/>
  <c r="D13" i="7"/>
  <c r="C13" i="7"/>
  <c r="D12" i="7"/>
  <c r="C12" i="7"/>
  <c r="C10" i="7"/>
  <c r="C9" i="7"/>
  <c r="D8" i="7"/>
  <c r="D34" i="6"/>
  <c r="D33" i="6"/>
  <c r="D32" i="6"/>
  <c r="D35" i="6" s="1"/>
  <c r="C24" i="7" s="1"/>
  <c r="C28" i="6"/>
  <c r="D23" i="7" s="1"/>
  <c r="B17" i="6"/>
  <c r="B18" i="6" s="1"/>
  <c r="C22" i="7" s="1"/>
  <c r="D12" i="6"/>
  <c r="C21" i="7" s="1"/>
  <c r="D11" i="6"/>
  <c r="D10" i="6"/>
  <c r="D9" i="6"/>
  <c r="D8" i="6"/>
  <c r="F83" i="5"/>
  <c r="B83" i="5"/>
  <c r="F82" i="5"/>
  <c r="F81" i="5"/>
  <c r="F80" i="5"/>
  <c r="F79" i="5"/>
  <c r="F78" i="5"/>
  <c r="F77" i="5"/>
  <c r="F76" i="5"/>
  <c r="F75" i="5"/>
  <c r="F71" i="5"/>
  <c r="D16" i="7" s="1"/>
  <c r="F70" i="5"/>
  <c r="F69" i="5"/>
  <c r="F68" i="5"/>
  <c r="F67" i="5"/>
  <c r="F66" i="5"/>
  <c r="F65" i="5"/>
  <c r="C61" i="5"/>
  <c r="B61" i="5"/>
  <c r="C15" i="7" s="1"/>
  <c r="F41" i="5"/>
  <c r="D14" i="7" s="1"/>
  <c r="B41" i="5"/>
  <c r="F40" i="5"/>
  <c r="F39" i="5"/>
  <c r="F38" i="5"/>
  <c r="F37" i="5"/>
  <c r="F36" i="5"/>
  <c r="F35" i="5"/>
  <c r="F34" i="5"/>
  <c r="F33" i="5"/>
  <c r="F29" i="5"/>
  <c r="F28" i="5"/>
  <c r="F27" i="5"/>
  <c r="F26" i="5"/>
  <c r="F25" i="5"/>
  <c r="F24" i="5"/>
  <c r="F23" i="5"/>
  <c r="F22" i="5"/>
  <c r="F21" i="5"/>
  <c r="F17" i="5"/>
  <c r="E16" i="5"/>
  <c r="F16" i="5" s="1"/>
  <c r="F15" i="5"/>
  <c r="E15" i="5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G18" i="4"/>
  <c r="H18" i="4" s="1"/>
  <c r="G17" i="4"/>
  <c r="H17" i="4" s="1"/>
  <c r="G16" i="4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D52" i="3"/>
  <c r="D10" i="7" s="1"/>
  <c r="G40" i="3"/>
  <c r="D9" i="7" s="1"/>
  <c r="G39" i="3"/>
  <c r="G38" i="3"/>
  <c r="G37" i="3"/>
  <c r="G36" i="3"/>
  <c r="G35" i="3"/>
  <c r="G34" i="3"/>
  <c r="G33" i="3"/>
  <c r="G32" i="3"/>
  <c r="C28" i="3"/>
  <c r="C8" i="7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8" i="3"/>
  <c r="F8" i="3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F21" i="2"/>
  <c r="G21" i="2" s="1"/>
  <c r="D17" i="2"/>
  <c r="C17" i="2"/>
  <c r="B17" i="2"/>
  <c r="G19" i="4" l="1"/>
  <c r="C11" i="7" s="1"/>
  <c r="H19" i="4"/>
  <c r="D11" i="7" s="1"/>
  <c r="H16" i="4"/>
  <c r="G9" i="3"/>
  <c r="F16" i="3"/>
  <c r="C7" i="7" s="1"/>
  <c r="G16" i="3"/>
  <c r="D7" i="7" s="1"/>
  <c r="G29" i="2"/>
  <c r="D6" i="7" s="1"/>
  <c r="C27" i="7" s="1"/>
  <c r="F29" i="2"/>
  <c r="C6" i="7" s="1"/>
  <c r="G22" i="2"/>
</calcChain>
</file>

<file path=xl/sharedStrings.xml><?xml version="1.0" encoding="utf-8"?>
<sst xmlns="http://schemas.openxmlformats.org/spreadsheetml/2006/main" count="268" uniqueCount="192">
  <si>
    <t>แบบบันทึกผลการทดลอง — โปรเจกต์หุ่นยนต์ดูดฝุ่น</t>
  </si>
  <si>
    <t>วิธีใช้ไฟล์นี้</t>
  </si>
  <si>
    <t>•</t>
  </si>
  <si>
    <t>ไฟล์นี้มี 1 แท็บต่อ 1 หัวข้อทดสอบ ตรงกับแผนงานในไฟล์ project_next_steps_plan.md (หัวข้อ 1.1–1.5)</t>
  </si>
  <si>
    <t>กรอกข้อมูลเฉพาะช่องสีเหลือง (Input) เท่านั้น — ห้ามแก้ช่องสีขาว/เทาเพราะมีสูตรคำนวณอยู่</t>
  </si>
  <si>
    <t>แถวสีเทาตัวเอียงบนสุดของแต่ละตารางคือ 'แถวตัวอย่าง' แสดงรูปแบบการกรอกที่ถูกต้อง ไม่ต้องลบก็ได้ ไม่ถูกนับในค่าเฉลี่ย</t>
  </si>
  <si>
    <t>คอลัมน์ผลลัพธ์/สถานะ (สีเขียว=ผ่าน, สีแดง=ไม่ผ่าน, สีเทา=รอข้อมูล) คำนวณอัตโนมัติจากข้อมูลที่กรอก ไม่ต้องกรอกเอง</t>
  </si>
  <si>
    <t>แท็บ 'สรุปผลรวม' จะดึงผลจากทุกแท็บมารวมเป็นภาพรวมให้อัตโนมัติ ให้กรอกข้อมูลในแท็บย่อยก่อน แล้วดูสรุปทีหลัง</t>
  </si>
  <si>
    <t>ถ้าทดลองมากกว่าจำนวนแถวที่เตรียมไว้ ให้เลือกแถวสุดท้ายของตาราง คลิกขวา &gt; Insert &gt; Row Above แล้วคัดลอกสูตร/สีจากแถวเหนือมันลงมา</t>
  </si>
  <si>
    <t>หน่วยที่ใช้ระบุไว้ในหัวตารางทุกคอลัมน์แล้ว ให้วัดและกรอกตามหน่วยนั้น</t>
  </si>
  <si>
    <t>สารบัญแท็บ</t>
  </si>
  <si>
    <t>1.1 มอเตอร์ดูด</t>
  </si>
  <si>
    <t>ทดสอบแรงดูด/กระแส/ประสิทธิภาพเก็บฝุ่น</t>
  </si>
  <si>
    <t>1.2 การขับเคลื่อน</t>
  </si>
  <si>
    <t>odometry, ข้ามธรณีประตู, กระแสมอเตอร์ขับ, เซนเซอร์กันตก/กันชน</t>
  </si>
  <si>
    <t>1.3 การปัดกวาด</t>
  </si>
  <si>
    <t>ประสิทธิภาพเก็บเศษของแปรงข้าง ร่วมกับมอเตอร์ดูด</t>
  </si>
  <si>
    <t>1.4 Scissor Lift</t>
  </si>
  <si>
    <t>เวลายก/พับ, กระแสเซอร์โว, การแกว่งปลายเสา, repeatability, self-lock</t>
  </si>
  <si>
    <t>1.5 ทดสอบรวมระบบ</t>
  </si>
  <si>
    <t>power budget, mission/safety checklist, endurance test</t>
  </si>
  <si>
    <t>สรุปผลรวม</t>
  </si>
  <si>
    <t>ภาพรวมสถานะทุกการทดสอบ ดึงข้อมูลอัตโนมัติจากแท็บอื่น</t>
  </si>
  <si>
    <t>1.1 การทดสอบมอเตอร์ดูดฝุ่น (Suction Motor Test)</t>
  </si>
  <si>
    <t>ข้อมูลการทดสอบ</t>
  </si>
  <si>
    <t>วันที่ทดสอบ:</t>
  </si>
  <si>
    <t>ผู้ทดสอบ:</t>
  </si>
  <si>
    <t>รุ่นมอเตอร์/ใบพัด:</t>
  </si>
  <si>
    <t>แรงดันไฟที่ใช้ (V):</t>
  </si>
  <si>
    <t>ตารางที่ 1: กระแสไฟและแรงดัน Manometer (Pressure &amp; Current)</t>
  </si>
  <si>
    <t>Trial</t>
  </si>
  <si>
    <t>กระแส Free-run (A)</t>
  </si>
  <si>
    <t>กระแส Stall (A)</t>
  </si>
  <si>
    <t>แรงดัน Manometer (mmH2O)</t>
  </si>
  <si>
    <t>หมายเหตุ</t>
  </si>
  <si>
    <t>ตัวอย่าง</t>
  </si>
  <si>
    <t>วัดที่ 6V, ปิดปลายท่อสนิท</t>
  </si>
  <si>
    <t>ค่าเฉลี่ย</t>
  </si>
  <si>
    <t>ตารางที่ 2: ประสิทธิภาพเก็บฝุ่น (Debris Pickup Efficiency, เกณฑ์ผ่าน ≥ 80%)</t>
  </si>
  <si>
    <t>พื้นผิว</t>
  </si>
  <si>
    <t>ชนิดเศษวัสดุ</t>
  </si>
  <si>
    <t>น้ำหนักก่อนดูด (g)</t>
  </si>
  <si>
    <t>น้ำหนักเศษเหลือหลังดูด (g)</t>
  </si>
  <si>
    <t>% เก็บได้</t>
  </si>
  <si>
    <t>ผ่านเกณฑ์</t>
  </si>
  <si>
    <t>กระเบื้อง</t>
  </si>
  <si>
    <t>ข้าวสาร</t>
  </si>
  <si>
    <t>ค่าเฉลี่ย / สรุปผล</t>
  </si>
  <si>
    <t>1.2 การทดสอบการขับเคลื่อน (Locomotion Test)</t>
  </si>
  <si>
    <t>ตารางที่ 1: ความแม่นยำ Odometry (เกณฑ์ผ่าน error &lt; 5%)</t>
  </si>
  <si>
    <t>ประเภท (ระยะ/มุม)</t>
  </si>
  <si>
    <t>ค่าที่สั่ง</t>
  </si>
  <si>
    <t>ค่าจริงที่วัดได้
(ตลับเมตร/องศา)</t>
  </si>
  <si>
    <t>ค่าที่ Encoder อ่านได้
(แปลงหน่วยเดียวกัน)</t>
  </si>
  <si>
    <t>% Error</t>
  </si>
  <si>
    <t>ผ่าน</t>
  </si>
  <si>
    <t>ระยะ (mm)</t>
  </si>
  <si>
    <t>ตารางที่ 2: การข้ามธรณีประตู/สิ่งกีดขวาง (ต้องพับเสากล้องก่อนทดสอบ)</t>
  </si>
  <si>
    <t>ความสูงสิ่งกีดขวาง (mm)</t>
  </si>
  <si>
    <t>ข้ามผ่านได้ (Y/N)</t>
  </si>
  <si>
    <t>Y</t>
  </si>
  <si>
    <t>พรมบาง</t>
  </si>
  <si>
    <t>ความสูงสูงสุดที่ข้ามผ่านได้ (mm)</t>
  </si>
  <si>
    <t>ตารางที่ 3: กระแสมอเตอร์ขับ (เกณฑ์ผ่าน: stall ตัดไฟภายใน ≤3 วินาที)</t>
  </si>
  <si>
    <t>กระแสวิ่งปกติ (A)</t>
  </si>
  <si>
    <t>เวลาก่อนตัดไฟป้องกัน (s)</t>
  </si>
  <si>
    <t>สรุปผล</t>
  </si>
  <si>
    <t>ตารางที่ 4: การตอบสนองเซนเซอร์กันตก (Cliff) / กันชน (Bumper)</t>
  </si>
  <si>
    <t>ชนิดเซนเซอร์</t>
  </si>
  <si>
    <t>ตำแหน่งทดสอบ</t>
  </si>
  <si>
    <t>ตอบสนองถูกต้อง (Y/N)</t>
  </si>
  <si>
    <t>เวลาตอบสนอง (ms)</t>
  </si>
  <si>
    <t>Cliff (IR)</t>
  </si>
  <si>
    <t>ขอบโต๊ะจำลอง</t>
  </si>
  <si>
    <t>หยุดก่อนขอบ 4 cm</t>
  </si>
  <si>
    <t>สรุปผล (ต้องตอบสนองถูกต้องทุกครั้ง)</t>
  </si>
  <si>
    <t>1.3 การทดสอบกลไกปัดกวาด (Cleaning Test)</t>
  </si>
  <si>
    <t>ตารางที่ 1: ประสิทธิภาพเก็บเศษ (เกณฑ์ผ่าน ≥80% เมื่อทดสอบโหมด แปรง+ดูด)</t>
  </si>
  <si>
    <t>โหมดทดสอบ
(แปรงอย่างเดียว / แปรง+ดูด)</t>
  </si>
  <si>
    <t>น้ำหนักก่อน (g)</t>
  </si>
  <si>
    <t>น้ำหนักเศษเหลือ (g)</t>
  </si>
  <si>
    <t>เศษกระดาษ+ฝุ่น</t>
  </si>
  <si>
    <t>แปรง+ดูด</t>
  </si>
  <si>
    <t>1.4 การทดสอบกลไก Scissor Lift ยกกล้อง (MRC-001)</t>
  </si>
  <si>
    <t>ข้อมูลการทดสอบ (อ้างอิง scissor_lift/README.md)</t>
  </si>
  <si>
    <t>เซอร์โวที่ใช้:</t>
  </si>
  <si>
    <t>MG996R</t>
  </si>
  <si>
    <t>ตารางที่ 1: เวลายก/พับ (เป้าหมาย 3.0 s, เกณฑ์ผ่าน ±0.5 s)</t>
  </si>
  <si>
    <t>ทิศทาง (ยก/พับ)</t>
  </si>
  <si>
    <t>เวลาที่วัดได้ (s)</t>
  </si>
  <si>
    <t>เป้าหมาย (s)</t>
  </si>
  <si>
    <t>ส่วนต่าง (s)</t>
  </si>
  <si>
    <t>ยก</t>
  </si>
  <si>
    <t>ตารางที่ 2: กระแสเซอร์โวพีค (ค่าคำนวณอ้างอิง 0.91 A @ 6V, เกณฑ์ผ่าน ≤ อ้างอิง+20%)</t>
  </si>
  <si>
    <t>กระแสพีคที่วัดได้ (A)</t>
  </si>
  <si>
    <t>ค่าคำนวณอ้างอิง (A)</t>
  </si>
  <si>
    <t>ตารางที่ 3: การแกว่งปลายเสาตอนยกสุด (ค่าคำนวณอ้างอิง ±9.3 mm — ความเสี่ยงอันดับ 1)</t>
  </si>
  <si>
    <t>ระยะแกว่งที่วัดได้ (mm)</t>
  </si>
  <si>
    <t>ค่าคำนวณอ้างอิง (mm)</t>
  </si>
  <si>
    <t>ตารางที่ 4: Repeatability (ยก-พับซ้ำ วัดตำแหน่งปลายสุด)</t>
  </si>
  <si>
    <t>ตำแหน่งปลายสุด แนวนอน X (mm)</t>
  </si>
  <si>
    <t>ตำแหน่งปลายสุด แนวตั้ง Z (mm)</t>
  </si>
  <si>
    <t>รอบที่ 1</t>
  </si>
  <si>
    <t>ค่าเบี่ยงเบนมาตรฐาน (Std Dev, mm)</t>
  </si>
  <si>
    <t>ตารางที่ 5: การล็อกตัวเองที่จุดตายตัว (Self-lock, ตัด PWM แล้วกดทดสอบ)</t>
  </si>
  <si>
    <t>แรงกดทดสอบ (N)</t>
  </si>
  <si>
    <t>เสาเคลื่อนตำแหน่งหรือไม่ (Y/N)</t>
  </si>
  <si>
    <t>ผ่าน (ควรเป็น N)</t>
  </si>
  <si>
    <t>N</t>
  </si>
  <si>
    <t>ตารางที่ 6: เวลานิ่งก่อนถ่ายภาพ/สแกน (เกณฑ์ผ่าน ≤2 s, natural freq อ้างอิง ~12 Hz)</t>
  </si>
  <si>
    <t>เวลาที่วัดได้จนนิ่ง (s)</t>
  </si>
  <si>
    <t>1.5 การทดสอบรวมทั้งระบบ (System Integration Test)</t>
  </si>
  <si>
    <t>ตารางที่ 1: งบพลังงาน (Power Budget) ต่อโหมดการทำงาน</t>
  </si>
  <si>
    <t>โหมดการทำงาน</t>
  </si>
  <si>
    <t>กระแสที่วัดได้ (A)</t>
  </si>
  <si>
    <t>แรงดัน (V)</t>
  </si>
  <si>
    <t>กำลังไฟ (W)</t>
  </si>
  <si>
    <t>Standby (Pi5+ESP32 เท่านั้น)</t>
  </si>
  <si>
    <t>วิ่งเปล่า (มอเตอร์ขับเท่านั้น)</t>
  </si>
  <si>
    <t>ทำความสะอาดเต็มระบบ (ขับ+ดูด+แปรง)</t>
  </si>
  <si>
    <t>ยก/พับกล้อง (เซอร์โว)</t>
  </si>
  <si>
    <t>Worst-case พร้อมกันทุกระบบ</t>
  </si>
  <si>
    <t>ประมาณการเวลาใช้งานต่อการชาร์จ 1 ครั้ง (Runtime Estimate)</t>
  </si>
  <si>
    <t>ความจุแบตเตอรี่รวม (mAh):</t>
  </si>
  <si>
    <t>แรงดันแบตเตอรี่ ระบุ (V, 4S=14.8):</t>
  </si>
  <si>
    <t>พลังงานรวมที่ใช้ได้ (Wh):</t>
  </si>
  <si>
    <t>เวลาใช้งานประมาณ กรณี Worst-case (ชม.):</t>
  </si>
  <si>
    <t>ตารางที่ 2: Checklist กติกาความปลอดภัย (ต้องบังคับใช้ในเฟิร์มแวร์ทุกข้อ)</t>
  </si>
  <si>
    <t>ข้อ</t>
  </si>
  <si>
    <t>กติกาความปลอดภัย</t>
  </si>
  <si>
    <t>ผ่าน (Y/N)</t>
  </si>
  <si>
    <t>ห้ามยกเสาขณะหุ่นเคลื่อนที่ — สั่งยกเมื่อ v = 0 เท่านั้น</t>
  </si>
  <si>
    <t>ขณะเสายกอยู่ จำกัดความเร่ง/เบรก ≤ 4.9 m/s²</t>
  </si>
  <si>
    <t>ขณะเสายกอยู่ จำกัดความเร็วหมุนตัว (แรงหนีศูนย์ ω²r)</t>
  </si>
  <si>
    <t>ต้องพับเสาก่อนขึ้น/ลงธรณีประตูหรือพรมหนา</t>
  </si>
  <si>
    <t>ถ่ายภาพ/สแกนหลังหุ่นหยุดนิ่งแล้ว 1-2 วินาที</t>
  </si>
  <si>
    <t>ถึงตำแหน่งแล้ว detach PWM (จุดศูนย์ตายล็อกให้อยู่แล้ว)</t>
  </si>
  <si>
    <t>ตารางที่ 3: ทดสอบความทนทาน (Endurance Test)</t>
  </si>
  <si>
    <t>วันที่</t>
  </si>
  <si>
    <t>เวลาเริ่ม</t>
  </si>
  <si>
    <t>เวลาสิ้นสุด (แบตหมด)</t>
  </si>
  <si>
    <t>ระยะเวลารวม (นาที)</t>
  </si>
  <si>
    <t>หมายเหตุ (อุณหภูมิมอเตอร์/buck สูงสุด)</t>
  </si>
  <si>
    <t>ระยะเวลาเฉลี่ยที่วิ่งได้จริง (นาที)</t>
  </si>
  <si>
    <t>ตารางที่ 4: ทดสอบความปลอดภัยเซนเซอร์ (สรุปจากภาพรวม 1.2)</t>
  </si>
  <si>
    <t>รายการ</t>
  </si>
  <si>
    <t>Cliff sensor หยุดหุ่นก่อนตกจริงทุกครั้ง</t>
  </si>
  <si>
    <t>Bumper ตอบสนองไวพอ ก่อนกระแทกแรง</t>
  </si>
  <si>
    <t>สรุปผลรวมการทดสอบทุกหัวข้อ (Test Summary Dashboard)</t>
  </si>
  <si>
    <t>ดึงข้อมูลอัตโนมัติจากทุกแท็บ — กรอกข้อมูลในแท็บย่อยก่อน ตัวเลขที่นี่จะอัปเดตเอง</t>
  </si>
  <si>
    <t>หัวข้อ 1: ทดสอบประสิทธิภาพอุปกรณ์</t>
  </si>
  <si>
    <t>หัวข้อการทดสอบ</t>
  </si>
  <si>
    <t>ตัวชี้วัดหลัก</t>
  </si>
  <si>
    <t>ผลลัพธ์</t>
  </si>
  <si>
    <t>สถานะ</t>
  </si>
  <si>
    <t>1.1 มอเตอร์ดูดฝุ่น</t>
  </si>
  <si>
    <t>% เก็บฝุ่นเฉลี่ย (เกณฑ์ ≥80%)</t>
  </si>
  <si>
    <t>1.2 การขับเคลื่อน — Odometry</t>
  </si>
  <si>
    <t>%Error เฉลี่ย (เกณฑ์ &lt;5%)</t>
  </si>
  <si>
    <t>1.2 การขับเคลื่อน — ข้ามสิ่งกีดขวาง</t>
  </si>
  <si>
    <t>ไม่มีเกณฑ์ผ่าน/ไม่ผ่านตายตัว — ใช้เป็นสเปกอ้างอิง</t>
  </si>
  <si>
    <t>1.2 การขับเคลื่อน — กระแส Stall</t>
  </si>
  <si>
    <t>ตัดไฟป้องกันภายใน ≤3s ทุกครั้ง</t>
  </si>
  <si>
    <t>1.2 การขับเคลื่อน — เซนเซอร์</t>
  </si>
  <si>
    <t>Cliff/Bumper ตอบสนองถูกต้องทุกครั้ง</t>
  </si>
  <si>
    <t>% เก็บเศษเฉลี่ย โหมดแปรง+ดูด (เกณฑ์ ≥80%)</t>
  </si>
  <si>
    <t>1.4 Scissor Lift — เวลายก/พับ</t>
  </si>
  <si>
    <t>อยู่ในเกณฑ์ 3.0±0.5s ทุกครั้ง</t>
  </si>
  <si>
    <t>1.4 Scissor Lift — กระแสเซอร์โว</t>
  </si>
  <si>
    <t>ไม่เกินค่าอ้างอิง+20% ทุกครั้ง</t>
  </si>
  <si>
    <t>1.4 Scissor Lift — การแกว่งปลายเสา ⚠</t>
  </si>
  <si>
    <t>ค่าเฉลี่ยที่วัดได้ (mm) เทียบ ±9.3mm</t>
  </si>
  <si>
    <t>ความเสี่ยงอันดับ 1 ตามรายงานเดิม — ให้ความสำคัญเป็นพิเศษ</t>
  </si>
  <si>
    <t>1.4 Scissor Lift — Repeatability</t>
  </si>
  <si>
    <t>Std Dev ตำแหน่ง X (mm)</t>
  </si>
  <si>
    <t>ยิ่งน้อยยิ่งดี ไม่มีเกณฑ์ตายตัว</t>
  </si>
  <si>
    <t>1.4 Scissor Lift — Self-lock</t>
  </si>
  <si>
    <t>ไม่เคลื่อนตำแหน่งเมื่อตัด PWM ทุกครั้ง</t>
  </si>
  <si>
    <t>1.4 Scissor Lift — เวลานิ่งก่อนถ่ายภาพ</t>
  </si>
  <si>
    <t>อยู่ในเกณฑ์ ≤2s ทุกครั้ง</t>
  </si>
  <si>
    <t>หัวข้อ 1.5: ทดสอบรวมระบบ</t>
  </si>
  <si>
    <t>Power Budget</t>
  </si>
  <si>
    <t>กำลังไฟรวม Worst-case (W)</t>
  </si>
  <si>
    <t>Runtime Estimate</t>
  </si>
  <si>
    <t>เวลาใช้งานประมาณต่อชาร์จ (ชม.)</t>
  </si>
  <si>
    <t>เทียบกับ Endurance test ที่วัดได้จริงด้านล่าง</t>
  </si>
  <si>
    <t>Mission/Safety Checklist</t>
  </si>
  <si>
    <t>กติกาความปลอดภัยทั้ง 6 ข้อผ่านทุกข้อ</t>
  </si>
  <si>
    <t>Endurance Test</t>
  </si>
  <si>
    <t>ระยะเวลาที่วิ่งได้จริงเฉลี่ย (นาที)</t>
  </si>
  <si>
    <t>ความพร้อมโดยรวม</t>
  </si>
  <si>
    <t>สถานะรวมของหัวข้อที่มีเกณฑ์ผ่าน/ไม่ผ่านชัดเจน: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</si>
</sst>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0.0"/>
    <numFmt numFmtId="188" formatCode="0.0%"/>
    <numFmt numFmtId="189" formatCode="0.000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1F4E78"/>
      <name val="Arial"/>
      <family val="2"/>
    </font>
    <font>
      <b/>
      <sz val="11"/>
      <color rgb="FF1F4E78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0000"/>
      <name val="Arial"/>
      <family val="2"/>
    </font>
    <font>
      <i/>
      <sz val="9"/>
      <color rgb="FF80808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187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1" fontId="8" fillId="6" borderId="2" xfId="0" applyNumberFormat="1" applyFont="1" applyFill="1" applyBorder="1" applyAlignment="1">
      <alignment horizontal="center" vertical="center" wrapText="1"/>
    </xf>
    <xf numFmtId="187" fontId="3" fillId="4" borderId="2" xfId="0" applyNumberFormat="1" applyFont="1" applyFill="1" applyBorder="1" applyAlignment="1">
      <alignment horizontal="center" vertical="center" wrapText="1"/>
    </xf>
    <xf numFmtId="187" fontId="8" fillId="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6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7" fontId="8" fillId="6" borderId="1" xfId="0" applyNumberFormat="1" applyFont="1" applyFill="1" applyBorder="1" applyAlignment="1">
      <alignment horizontal="center" vertical="center" wrapText="1"/>
    </xf>
    <xf numFmtId="188" fontId="8" fillId="6" borderId="1" xfId="0" applyNumberFormat="1" applyFont="1" applyFill="1" applyBorder="1" applyAlignment="1">
      <alignment horizontal="center" vertical="center" wrapText="1"/>
    </xf>
    <xf numFmtId="187" fontId="3" fillId="4" borderId="1" xfId="0" applyNumberFormat="1" applyFont="1" applyFill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87" fontId="9" fillId="0" borderId="1" xfId="0" applyNumberFormat="1" applyFont="1" applyBorder="1" applyAlignment="1">
      <alignment horizontal="center" vertical="center" wrapText="1"/>
    </xf>
    <xf numFmtId="189" fontId="9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ปกติ" xfId="0" builtinId="0"/>
  </cellStyles>
  <dxfs count="36"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i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zoomScale="125" zoomScaleNormal="100" workbookViewId="0">
      <selection sqref="A1:B1"/>
    </sheetView>
  </sheetViews>
  <sheetFormatPr baseColWidth="10" defaultColWidth="8.6640625" defaultRowHeight="15" x14ac:dyDescent="0.2"/>
  <cols>
    <col min="1" max="1" width="28" customWidth="1"/>
    <col min="2" max="2" width="90" customWidth="1"/>
  </cols>
  <sheetData>
    <row r="1" spans="1:2" ht="30" customHeight="1" x14ac:dyDescent="0.2">
      <c r="A1" s="14" t="s">
        <v>0</v>
      </c>
      <c r="B1" s="14"/>
    </row>
    <row r="3" spans="1:2" ht="16" x14ac:dyDescent="0.2">
      <c r="A3" s="15" t="s">
        <v>1</v>
      </c>
    </row>
    <row r="4" spans="1:2" ht="27.75" customHeight="1" x14ac:dyDescent="0.2">
      <c r="A4" s="16" t="s">
        <v>2</v>
      </c>
      <c r="B4" s="17" t="s">
        <v>3</v>
      </c>
    </row>
    <row r="5" spans="1:2" ht="27.75" customHeight="1" x14ac:dyDescent="0.2">
      <c r="A5" s="16" t="s">
        <v>2</v>
      </c>
      <c r="B5" s="17" t="s">
        <v>4</v>
      </c>
    </row>
    <row r="6" spans="1:2" ht="27.75" customHeight="1" x14ac:dyDescent="0.2">
      <c r="A6" s="16" t="s">
        <v>2</v>
      </c>
      <c r="B6" s="17" t="s">
        <v>5</v>
      </c>
    </row>
    <row r="7" spans="1:2" ht="27.75" customHeight="1" x14ac:dyDescent="0.2">
      <c r="A7" s="16" t="s">
        <v>2</v>
      </c>
      <c r="B7" s="17" t="s">
        <v>6</v>
      </c>
    </row>
    <row r="8" spans="1:2" ht="27.75" customHeight="1" x14ac:dyDescent="0.2">
      <c r="A8" s="16" t="s">
        <v>2</v>
      </c>
      <c r="B8" s="17" t="s">
        <v>7</v>
      </c>
    </row>
    <row r="9" spans="1:2" ht="27.75" customHeight="1" x14ac:dyDescent="0.2">
      <c r="A9" s="16" t="s">
        <v>2</v>
      </c>
      <c r="B9" s="17" t="s">
        <v>8</v>
      </c>
    </row>
    <row r="10" spans="1:2" ht="27.75" customHeight="1" x14ac:dyDescent="0.2">
      <c r="A10" s="16" t="s">
        <v>2</v>
      </c>
      <c r="B10" s="17" t="s">
        <v>9</v>
      </c>
    </row>
    <row r="12" spans="1:2" ht="16" x14ac:dyDescent="0.2">
      <c r="A12" s="15" t="s">
        <v>10</v>
      </c>
    </row>
    <row r="13" spans="1:2" x14ac:dyDescent="0.2">
      <c r="A13" s="18" t="s">
        <v>11</v>
      </c>
      <c r="B13" s="17" t="s">
        <v>12</v>
      </c>
    </row>
    <row r="14" spans="1:2" x14ac:dyDescent="0.2">
      <c r="A14" s="18" t="s">
        <v>13</v>
      </c>
      <c r="B14" s="17" t="s">
        <v>14</v>
      </c>
    </row>
    <row r="15" spans="1:2" x14ac:dyDescent="0.2">
      <c r="A15" s="18" t="s">
        <v>15</v>
      </c>
      <c r="B15" s="17" t="s">
        <v>16</v>
      </c>
    </row>
    <row r="16" spans="1:2" x14ac:dyDescent="0.2">
      <c r="A16" s="18" t="s">
        <v>17</v>
      </c>
      <c r="B16" s="17" t="s">
        <v>18</v>
      </c>
    </row>
    <row r="17" spans="1:2" x14ac:dyDescent="0.2">
      <c r="A17" s="18" t="s">
        <v>19</v>
      </c>
      <c r="B17" s="17" t="s">
        <v>20</v>
      </c>
    </row>
    <row r="18" spans="1:2" x14ac:dyDescent="0.2">
      <c r="A18" s="18" t="s">
        <v>21</v>
      </c>
      <c r="B18" s="17" t="s">
        <v>22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zoomScaleNormal="100" workbookViewId="0">
      <selection activeCell="B5" sqref="B5"/>
    </sheetView>
  </sheetViews>
  <sheetFormatPr baseColWidth="10" defaultColWidth="8.6640625" defaultRowHeight="15" x14ac:dyDescent="0.2"/>
  <cols>
    <col min="1" max="1" width="10" customWidth="1"/>
    <col min="2" max="5" width="16" customWidth="1"/>
    <col min="6" max="6" width="12" customWidth="1"/>
    <col min="7" max="7" width="14" customWidth="1"/>
  </cols>
  <sheetData>
    <row r="1" spans="1:5" ht="25.5" customHeight="1" x14ac:dyDescent="0.2">
      <c r="A1" s="14" t="s">
        <v>23</v>
      </c>
      <c r="B1" s="14"/>
      <c r="C1" s="14"/>
      <c r="D1" s="14"/>
      <c r="E1" s="14"/>
    </row>
    <row r="3" spans="1:5" ht="18" customHeight="1" x14ac:dyDescent="0.2">
      <c r="A3" s="13" t="s">
        <v>24</v>
      </c>
      <c r="B3" s="13"/>
      <c r="C3" s="13"/>
      <c r="D3" s="13"/>
      <c r="E3" s="13"/>
    </row>
    <row r="4" spans="1:5" x14ac:dyDescent="0.2">
      <c r="A4" s="19" t="s">
        <v>25</v>
      </c>
      <c r="B4" s="20"/>
      <c r="C4" s="19" t="s">
        <v>26</v>
      </c>
      <c r="D4" s="12"/>
      <c r="E4" s="12"/>
    </row>
    <row r="5" spans="1:5" ht="28" x14ac:dyDescent="0.2">
      <c r="A5" s="19" t="s">
        <v>27</v>
      </c>
      <c r="B5" s="20"/>
      <c r="C5" s="19" t="s">
        <v>28</v>
      </c>
      <c r="D5" s="12"/>
      <c r="E5" s="12"/>
    </row>
    <row r="7" spans="1:5" ht="18" customHeight="1" x14ac:dyDescent="0.2">
      <c r="A7" s="13" t="s">
        <v>29</v>
      </c>
      <c r="B7" s="13"/>
      <c r="C7" s="13"/>
      <c r="D7" s="13"/>
      <c r="E7" s="13"/>
    </row>
    <row r="8" spans="1:5" ht="31.5" customHeight="1" x14ac:dyDescent="0.2">
      <c r="A8" s="21" t="s">
        <v>30</v>
      </c>
      <c r="B8" s="21" t="s">
        <v>31</v>
      </c>
      <c r="C8" s="21" t="s">
        <v>32</v>
      </c>
      <c r="D8" s="21" t="s">
        <v>33</v>
      </c>
      <c r="E8" s="21" t="s">
        <v>34</v>
      </c>
    </row>
    <row r="9" spans="1:5" ht="28" x14ac:dyDescent="0.2">
      <c r="A9" s="22" t="s">
        <v>35</v>
      </c>
      <c r="B9" s="23">
        <v>0.85</v>
      </c>
      <c r="C9" s="23">
        <v>2.1</v>
      </c>
      <c r="D9" s="24">
        <v>450</v>
      </c>
      <c r="E9" s="22" t="s">
        <v>36</v>
      </c>
    </row>
    <row r="10" spans="1:5" x14ac:dyDescent="0.2">
      <c r="A10" s="25">
        <v>1</v>
      </c>
      <c r="B10" s="26"/>
      <c r="C10" s="26"/>
      <c r="D10" s="27"/>
      <c r="E10" s="28"/>
    </row>
    <row r="11" spans="1:5" x14ac:dyDescent="0.2">
      <c r="A11" s="25">
        <v>2</v>
      </c>
      <c r="B11" s="26"/>
      <c r="C11" s="26"/>
      <c r="D11" s="27"/>
      <c r="E11" s="28"/>
    </row>
    <row r="12" spans="1:5" x14ac:dyDescent="0.2">
      <c r="A12" s="25">
        <v>3</v>
      </c>
      <c r="B12" s="26"/>
      <c r="C12" s="26"/>
      <c r="D12" s="27"/>
      <c r="E12" s="28"/>
    </row>
    <row r="13" spans="1:5" x14ac:dyDescent="0.2">
      <c r="A13" s="25">
        <v>4</v>
      </c>
      <c r="B13" s="26"/>
      <c r="C13" s="26"/>
      <c r="D13" s="27"/>
      <c r="E13" s="28"/>
    </row>
    <row r="14" spans="1:5" x14ac:dyDescent="0.2">
      <c r="A14" s="25">
        <v>5</v>
      </c>
      <c r="B14" s="26"/>
      <c r="C14" s="26"/>
      <c r="D14" s="27"/>
      <c r="E14" s="28"/>
    </row>
    <row r="15" spans="1:5" x14ac:dyDescent="0.2">
      <c r="A15" s="25">
        <v>6</v>
      </c>
      <c r="B15" s="26"/>
      <c r="C15" s="26"/>
      <c r="D15" s="27"/>
      <c r="E15" s="28"/>
    </row>
    <row r="16" spans="1:5" x14ac:dyDescent="0.2">
      <c r="A16" s="25">
        <v>7</v>
      </c>
      <c r="B16" s="26"/>
      <c r="C16" s="26"/>
      <c r="D16" s="27"/>
      <c r="E16" s="28"/>
    </row>
    <row r="17" spans="1:7" x14ac:dyDescent="0.2">
      <c r="A17" s="29" t="s">
        <v>37</v>
      </c>
      <c r="B17" s="30" t="str">
        <f>IFERROR(AVERAGE(B10:B16),"")</f>
        <v/>
      </c>
      <c r="C17" s="30" t="str">
        <f>IFERROR(AVERAGE(C10:C16),"")</f>
        <v/>
      </c>
      <c r="D17" s="31" t="str">
        <f>IFERROR(AVERAGE(D10:D16),"")</f>
        <v/>
      </c>
      <c r="E17" s="32"/>
    </row>
    <row r="19" spans="1:7" ht="18" customHeight="1" x14ac:dyDescent="0.2">
      <c r="A19" s="13" t="s">
        <v>38</v>
      </c>
      <c r="B19" s="13"/>
      <c r="C19" s="13"/>
      <c r="D19" s="13"/>
      <c r="E19" s="13"/>
    </row>
    <row r="20" spans="1:7" ht="31.5" customHeight="1" x14ac:dyDescent="0.2">
      <c r="A20" s="21" t="s">
        <v>30</v>
      </c>
      <c r="B20" s="21" t="s">
        <v>39</v>
      </c>
      <c r="C20" s="21" t="s">
        <v>40</v>
      </c>
      <c r="D20" s="21" t="s">
        <v>41</v>
      </c>
      <c r="E20" s="21" t="s">
        <v>42</v>
      </c>
      <c r="F20" s="21" t="s">
        <v>43</v>
      </c>
      <c r="G20" s="21" t="s">
        <v>44</v>
      </c>
    </row>
    <row r="21" spans="1:7" x14ac:dyDescent="0.2">
      <c r="A21" s="22" t="s">
        <v>35</v>
      </c>
      <c r="B21" s="22" t="s">
        <v>45</v>
      </c>
      <c r="C21" s="22" t="s">
        <v>46</v>
      </c>
      <c r="D21" s="33">
        <v>20</v>
      </c>
      <c r="E21" s="33">
        <v>3</v>
      </c>
      <c r="F21" s="34">
        <f t="shared" ref="F21:F28" si="0">IF(OR(D21="",E21=""),"",IFERROR((D21-E21)/D21,""))</f>
        <v>0.85</v>
      </c>
      <c r="G21" s="22" t="str">
        <f t="shared" ref="G21:G28" si="1">IF(F21="","",IF(F21&gt;=0.8,"ผ่าน ✓","ไม่ผ่าน ✗"))</f>
        <v>ผ่าน ✓</v>
      </c>
    </row>
    <row r="22" spans="1:7" x14ac:dyDescent="0.2">
      <c r="A22" s="25">
        <v>1</v>
      </c>
      <c r="B22" s="28"/>
      <c r="C22" s="28"/>
      <c r="D22" s="35"/>
      <c r="E22" s="35"/>
      <c r="F22" s="36" t="str">
        <f t="shared" si="0"/>
        <v/>
      </c>
      <c r="G22" s="32" t="str">
        <f t="shared" si="1"/>
        <v/>
      </c>
    </row>
    <row r="23" spans="1:7" x14ac:dyDescent="0.2">
      <c r="A23" s="25">
        <v>2</v>
      </c>
      <c r="B23" s="28"/>
      <c r="C23" s="28"/>
      <c r="D23" s="35"/>
      <c r="E23" s="35"/>
      <c r="F23" s="36" t="str">
        <f t="shared" si="0"/>
        <v/>
      </c>
      <c r="G23" s="32" t="str">
        <f t="shared" si="1"/>
        <v/>
      </c>
    </row>
    <row r="24" spans="1:7" x14ac:dyDescent="0.2">
      <c r="A24" s="25">
        <v>3</v>
      </c>
      <c r="B24" s="28"/>
      <c r="C24" s="28"/>
      <c r="D24" s="35"/>
      <c r="E24" s="35"/>
      <c r="F24" s="36" t="str">
        <f t="shared" si="0"/>
        <v/>
      </c>
      <c r="G24" s="32" t="str">
        <f t="shared" si="1"/>
        <v/>
      </c>
    </row>
    <row r="25" spans="1:7" x14ac:dyDescent="0.2">
      <c r="A25" s="25">
        <v>4</v>
      </c>
      <c r="B25" s="28"/>
      <c r="C25" s="28"/>
      <c r="D25" s="35"/>
      <c r="E25" s="35"/>
      <c r="F25" s="36" t="str">
        <f t="shared" si="0"/>
        <v/>
      </c>
      <c r="G25" s="32" t="str">
        <f t="shared" si="1"/>
        <v/>
      </c>
    </row>
    <row r="26" spans="1:7" x14ac:dyDescent="0.2">
      <c r="A26" s="25">
        <v>5</v>
      </c>
      <c r="B26" s="28"/>
      <c r="C26" s="28"/>
      <c r="D26" s="35"/>
      <c r="E26" s="35"/>
      <c r="F26" s="36" t="str">
        <f t="shared" si="0"/>
        <v/>
      </c>
      <c r="G26" s="32" t="str">
        <f t="shared" si="1"/>
        <v/>
      </c>
    </row>
    <row r="27" spans="1:7" x14ac:dyDescent="0.2">
      <c r="A27" s="25">
        <v>6</v>
      </c>
      <c r="B27" s="28"/>
      <c r="C27" s="28"/>
      <c r="D27" s="35"/>
      <c r="E27" s="35"/>
      <c r="F27" s="36" t="str">
        <f t="shared" si="0"/>
        <v/>
      </c>
      <c r="G27" s="32" t="str">
        <f t="shared" si="1"/>
        <v/>
      </c>
    </row>
    <row r="28" spans="1:7" x14ac:dyDescent="0.2">
      <c r="A28" s="25">
        <v>7</v>
      </c>
      <c r="B28" s="28"/>
      <c r="C28" s="28"/>
      <c r="D28" s="35"/>
      <c r="E28" s="35"/>
      <c r="F28" s="36" t="str">
        <f t="shared" si="0"/>
        <v/>
      </c>
      <c r="G28" s="32" t="str">
        <f t="shared" si="1"/>
        <v/>
      </c>
    </row>
    <row r="29" spans="1:7" ht="15" customHeight="1" x14ac:dyDescent="0.2">
      <c r="A29" s="11" t="s">
        <v>47</v>
      </c>
      <c r="B29" s="11"/>
      <c r="C29" s="11"/>
      <c r="D29" s="11"/>
      <c r="E29" s="11"/>
      <c r="F29" s="36" t="str">
        <f>IFERROR(AVERAGE(F22:F28),"")</f>
        <v/>
      </c>
      <c r="G29" s="32" t="str">
        <f>IF(COUNT(F22:F28)=0,"รอข้อมูล",IF(F29&gt;=0.8,"ผ่าน ✓","ไม่ผ่าน ✗"))</f>
        <v>รอข้อมูล</v>
      </c>
    </row>
  </sheetData>
  <mergeCells count="7">
    <mergeCell ref="A19:E19"/>
    <mergeCell ref="A29:E29"/>
    <mergeCell ref="A1:E1"/>
    <mergeCell ref="A3:E3"/>
    <mergeCell ref="D4:E4"/>
    <mergeCell ref="D5:E5"/>
    <mergeCell ref="A7:E7"/>
  </mergeCells>
  <conditionalFormatting sqref="G22:G29">
    <cfRule type="expression" dxfId="35" priority="2">
      <formula>LEFT(G22,2)="ผ่า"</formula>
    </cfRule>
    <cfRule type="expression" dxfId="34" priority="3">
      <formula>LEFT(G22,2)="ไม่"</formula>
    </cfRule>
    <cfRule type="expression" dxfId="33" priority="4">
      <formula>LEFT(G22,2)="รอ"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zoomScaleNormal="100" workbookViewId="0">
      <selection sqref="A1:G51"/>
    </sheetView>
  </sheetViews>
  <sheetFormatPr baseColWidth="10" defaultColWidth="8.6640625" defaultRowHeight="15" x14ac:dyDescent="0.2"/>
  <cols>
    <col min="1" max="1" width="8" customWidth="1"/>
    <col min="2" max="3" width="16" customWidth="1"/>
    <col min="4" max="5" width="14" customWidth="1"/>
    <col min="6" max="6" width="10" customWidth="1"/>
    <col min="7" max="7" width="16" customWidth="1"/>
  </cols>
  <sheetData>
    <row r="1" spans="1:7" ht="25.5" customHeight="1" x14ac:dyDescent="0.2">
      <c r="A1" s="14" t="s">
        <v>48</v>
      </c>
      <c r="B1" s="14"/>
      <c r="C1" s="14"/>
      <c r="D1" s="14"/>
      <c r="E1" s="14"/>
      <c r="F1" s="14"/>
      <c r="G1" s="14"/>
    </row>
    <row r="3" spans="1:7" ht="18" customHeight="1" x14ac:dyDescent="0.2">
      <c r="A3" s="13" t="s">
        <v>24</v>
      </c>
      <c r="B3" s="13"/>
      <c r="C3" s="13"/>
      <c r="D3" s="13"/>
      <c r="E3" s="13"/>
      <c r="F3" s="13"/>
      <c r="G3" s="13"/>
    </row>
    <row r="4" spans="1:7" ht="28" x14ac:dyDescent="0.2">
      <c r="A4" s="19" t="s">
        <v>25</v>
      </c>
      <c r="B4" s="20"/>
      <c r="C4" s="19" t="s">
        <v>26</v>
      </c>
      <c r="D4" s="12"/>
      <c r="E4" s="12"/>
    </row>
    <row r="6" spans="1:7" ht="18" customHeight="1" x14ac:dyDescent="0.2">
      <c r="A6" s="13" t="s">
        <v>49</v>
      </c>
      <c r="B6" s="13"/>
      <c r="C6" s="13"/>
      <c r="D6" s="13"/>
      <c r="E6" s="13"/>
      <c r="F6" s="13"/>
      <c r="G6" s="13"/>
    </row>
    <row r="7" spans="1:7" ht="31.5" customHeight="1" x14ac:dyDescent="0.2">
      <c r="A7" s="21" t="s">
        <v>30</v>
      </c>
      <c r="B7" s="21" t="s">
        <v>50</v>
      </c>
      <c r="C7" s="21" t="s">
        <v>51</v>
      </c>
      <c r="D7" s="21" t="s">
        <v>52</v>
      </c>
      <c r="E7" s="21" t="s">
        <v>53</v>
      </c>
      <c r="F7" s="21" t="s">
        <v>54</v>
      </c>
      <c r="G7" s="21" t="s">
        <v>55</v>
      </c>
    </row>
    <row r="8" spans="1:7" x14ac:dyDescent="0.2">
      <c r="A8" s="22" t="s">
        <v>35</v>
      </c>
      <c r="B8" s="22" t="s">
        <v>56</v>
      </c>
      <c r="C8" s="24">
        <v>1000</v>
      </c>
      <c r="D8" s="24">
        <v>1000</v>
      </c>
      <c r="E8" s="24">
        <v>985</v>
      </c>
      <c r="F8" s="34">
        <f t="shared" ref="F8:F15" si="0">IF(OR(D8="",E8=""),"",IFERROR(ABS(E8-D8)/D8,""))</f>
        <v>1.4999999999999999E-2</v>
      </c>
      <c r="G8" s="22" t="str">
        <f t="shared" ref="G8:G15" si="1">IF(F8="","",IF(F8&lt;0.05,"ผ่าน ✓","ไม่ผ่าน ✗"))</f>
        <v>ผ่าน ✓</v>
      </c>
    </row>
    <row r="9" spans="1:7" x14ac:dyDescent="0.2">
      <c r="A9" s="25">
        <v>1</v>
      </c>
      <c r="B9" s="28"/>
      <c r="C9" s="27"/>
      <c r="D9" s="27"/>
      <c r="E9" s="27"/>
      <c r="F9" s="36" t="str">
        <f t="shared" si="0"/>
        <v/>
      </c>
      <c r="G9" s="32" t="str">
        <f t="shared" si="1"/>
        <v/>
      </c>
    </row>
    <row r="10" spans="1:7" x14ac:dyDescent="0.2">
      <c r="A10" s="25">
        <v>2</v>
      </c>
      <c r="B10" s="28"/>
      <c r="C10" s="27"/>
      <c r="D10" s="27"/>
      <c r="E10" s="27"/>
      <c r="F10" s="36" t="str">
        <f t="shared" si="0"/>
        <v/>
      </c>
      <c r="G10" s="32" t="str">
        <f t="shared" si="1"/>
        <v/>
      </c>
    </row>
    <row r="11" spans="1:7" x14ac:dyDescent="0.2">
      <c r="A11" s="25">
        <v>3</v>
      </c>
      <c r="B11" s="28"/>
      <c r="C11" s="27"/>
      <c r="D11" s="27"/>
      <c r="E11" s="27"/>
      <c r="F11" s="36" t="str">
        <f t="shared" si="0"/>
        <v/>
      </c>
      <c r="G11" s="32" t="str">
        <f t="shared" si="1"/>
        <v/>
      </c>
    </row>
    <row r="12" spans="1:7" x14ac:dyDescent="0.2">
      <c r="A12" s="25">
        <v>4</v>
      </c>
      <c r="B12" s="28"/>
      <c r="C12" s="27"/>
      <c r="D12" s="27"/>
      <c r="E12" s="27"/>
      <c r="F12" s="36" t="str">
        <f t="shared" si="0"/>
        <v/>
      </c>
      <c r="G12" s="32" t="str">
        <f t="shared" si="1"/>
        <v/>
      </c>
    </row>
    <row r="13" spans="1:7" x14ac:dyDescent="0.2">
      <c r="A13" s="25">
        <v>5</v>
      </c>
      <c r="B13" s="28"/>
      <c r="C13" s="27"/>
      <c r="D13" s="27"/>
      <c r="E13" s="27"/>
      <c r="F13" s="36" t="str">
        <f t="shared" si="0"/>
        <v/>
      </c>
      <c r="G13" s="32" t="str">
        <f t="shared" si="1"/>
        <v/>
      </c>
    </row>
    <row r="14" spans="1:7" x14ac:dyDescent="0.2">
      <c r="A14" s="25">
        <v>6</v>
      </c>
      <c r="B14" s="28"/>
      <c r="C14" s="27"/>
      <c r="D14" s="27"/>
      <c r="E14" s="27"/>
      <c r="F14" s="36" t="str">
        <f t="shared" si="0"/>
        <v/>
      </c>
      <c r="G14" s="32" t="str">
        <f t="shared" si="1"/>
        <v/>
      </c>
    </row>
    <row r="15" spans="1:7" x14ac:dyDescent="0.2">
      <c r="A15" s="25">
        <v>7</v>
      </c>
      <c r="B15" s="28"/>
      <c r="C15" s="27"/>
      <c r="D15" s="27"/>
      <c r="E15" s="27"/>
      <c r="F15" s="36" t="str">
        <f t="shared" si="0"/>
        <v/>
      </c>
      <c r="G15" s="32" t="str">
        <f t="shared" si="1"/>
        <v/>
      </c>
    </row>
    <row r="16" spans="1:7" ht="15" customHeight="1" x14ac:dyDescent="0.2">
      <c r="A16" s="11" t="s">
        <v>47</v>
      </c>
      <c r="B16" s="11"/>
      <c r="C16" s="11"/>
      <c r="D16" s="11"/>
      <c r="E16" s="11"/>
      <c r="F16" s="36" t="str">
        <f>IFERROR(AVERAGE(F9:F15),"")</f>
        <v/>
      </c>
      <c r="G16" s="32" t="str">
        <f>IF(COUNT(F9:F15)=0,"รอข้อมูล",IF(F16&lt;0.05,"ผ่าน ✓","ไม่ผ่าน ✗"))</f>
        <v>รอข้อมูล</v>
      </c>
    </row>
    <row r="18" spans="1:7" ht="18" customHeight="1" x14ac:dyDescent="0.2">
      <c r="A18" s="13" t="s">
        <v>57</v>
      </c>
      <c r="B18" s="13"/>
      <c r="C18" s="13"/>
      <c r="D18" s="13"/>
      <c r="E18" s="13"/>
      <c r="F18" s="13"/>
      <c r="G18" s="13"/>
    </row>
    <row r="19" spans="1:7" ht="31.5" customHeight="1" x14ac:dyDescent="0.2">
      <c r="A19" s="21" t="s">
        <v>30</v>
      </c>
      <c r="B19" s="21" t="s">
        <v>58</v>
      </c>
      <c r="C19" s="10" t="s">
        <v>59</v>
      </c>
      <c r="D19" s="10"/>
      <c r="E19" s="10"/>
      <c r="F19" s="10"/>
      <c r="G19" s="21" t="s">
        <v>34</v>
      </c>
    </row>
    <row r="20" spans="1:7" ht="15" customHeight="1" x14ac:dyDescent="0.2">
      <c r="A20" s="22" t="s">
        <v>35</v>
      </c>
      <c r="B20" s="24">
        <v>8</v>
      </c>
      <c r="C20" s="9" t="s">
        <v>60</v>
      </c>
      <c r="D20" s="9"/>
      <c r="E20" s="9"/>
      <c r="F20" s="9"/>
      <c r="G20" s="22" t="s">
        <v>61</v>
      </c>
    </row>
    <row r="21" spans="1:7" x14ac:dyDescent="0.2">
      <c r="A21" s="25">
        <v>1</v>
      </c>
      <c r="B21" s="27"/>
      <c r="C21" s="8"/>
      <c r="D21" s="8"/>
      <c r="E21" s="8"/>
      <c r="F21" s="8"/>
      <c r="G21" s="28"/>
    </row>
    <row r="22" spans="1:7" x14ac:dyDescent="0.2">
      <c r="A22" s="25">
        <v>2</v>
      </c>
      <c r="B22" s="27"/>
      <c r="C22" s="8"/>
      <c r="D22" s="8"/>
      <c r="E22" s="8"/>
      <c r="F22" s="8"/>
      <c r="G22" s="28"/>
    </row>
    <row r="23" spans="1:7" x14ac:dyDescent="0.2">
      <c r="A23" s="25">
        <v>3</v>
      </c>
      <c r="B23" s="27"/>
      <c r="C23" s="8"/>
      <c r="D23" s="8"/>
      <c r="E23" s="8"/>
      <c r="F23" s="8"/>
      <c r="G23" s="28"/>
    </row>
    <row r="24" spans="1:7" x14ac:dyDescent="0.2">
      <c r="A24" s="25">
        <v>4</v>
      </c>
      <c r="B24" s="27"/>
      <c r="C24" s="8"/>
      <c r="D24" s="8"/>
      <c r="E24" s="8"/>
      <c r="F24" s="8"/>
      <c r="G24" s="28"/>
    </row>
    <row r="25" spans="1:7" x14ac:dyDescent="0.2">
      <c r="A25" s="25">
        <v>5</v>
      </c>
      <c r="B25" s="27"/>
      <c r="C25" s="8"/>
      <c r="D25" s="8"/>
      <c r="E25" s="8"/>
      <c r="F25" s="8"/>
      <c r="G25" s="28"/>
    </row>
    <row r="26" spans="1:7" x14ac:dyDescent="0.2">
      <c r="A26" s="25">
        <v>6</v>
      </c>
      <c r="B26" s="27"/>
      <c r="C26" s="8"/>
      <c r="D26" s="8"/>
      <c r="E26" s="8"/>
      <c r="F26" s="8"/>
      <c r="G26" s="28"/>
    </row>
    <row r="27" spans="1:7" x14ac:dyDescent="0.2">
      <c r="A27" s="25">
        <v>7</v>
      </c>
      <c r="B27" s="27"/>
      <c r="C27" s="8"/>
      <c r="D27" s="8"/>
      <c r="E27" s="8"/>
      <c r="F27" s="8"/>
      <c r="G27" s="28"/>
    </row>
    <row r="28" spans="1:7" ht="23.75" customHeight="1" x14ac:dyDescent="0.2">
      <c r="A28" s="11" t="s">
        <v>62</v>
      </c>
      <c r="B28" s="11"/>
      <c r="C28" s="31">
        <f>IFERROR(SUMPRODUCT(MAX((C21:C27="Y")*B21:B27)),"")</f>
        <v>0</v>
      </c>
    </row>
    <row r="30" spans="1:7" ht="18" customHeight="1" x14ac:dyDescent="0.2">
      <c r="A30" s="13" t="s">
        <v>63</v>
      </c>
      <c r="B30" s="13"/>
      <c r="C30" s="13"/>
      <c r="D30" s="13"/>
      <c r="E30" s="13"/>
      <c r="F30" s="13"/>
      <c r="G30" s="13"/>
    </row>
    <row r="31" spans="1:7" ht="31.5" customHeight="1" x14ac:dyDescent="0.2">
      <c r="A31" s="21" t="s">
        <v>30</v>
      </c>
      <c r="B31" s="21" t="s">
        <v>64</v>
      </c>
      <c r="C31" s="21" t="s">
        <v>32</v>
      </c>
      <c r="D31" s="10" t="s">
        <v>65</v>
      </c>
      <c r="E31" s="10"/>
      <c r="F31" s="10"/>
      <c r="G31" s="21" t="s">
        <v>55</v>
      </c>
    </row>
    <row r="32" spans="1:7" x14ac:dyDescent="0.2">
      <c r="A32" s="22" t="s">
        <v>35</v>
      </c>
      <c r="B32" s="23">
        <v>0.6</v>
      </c>
      <c r="C32" s="23">
        <v>1.8</v>
      </c>
      <c r="D32" s="7">
        <v>1.5</v>
      </c>
      <c r="E32" s="7"/>
      <c r="F32" s="7"/>
      <c r="G32" s="22" t="str">
        <f t="shared" ref="G32:G39" si="2">IF(D32="","",IF(D32&lt;=3,"ผ่าน ✓","ไม่ผ่าน ✗"))</f>
        <v>ผ่าน ✓</v>
      </c>
    </row>
    <row r="33" spans="1:7" x14ac:dyDescent="0.2">
      <c r="A33" s="25">
        <v>1</v>
      </c>
      <c r="B33" s="26"/>
      <c r="C33" s="26"/>
      <c r="D33" s="6"/>
      <c r="E33" s="6"/>
      <c r="F33" s="6"/>
      <c r="G33" s="32" t="str">
        <f t="shared" si="2"/>
        <v/>
      </c>
    </row>
    <row r="34" spans="1:7" x14ac:dyDescent="0.2">
      <c r="A34" s="25">
        <v>2</v>
      </c>
      <c r="B34" s="26"/>
      <c r="C34" s="26"/>
      <c r="D34" s="6"/>
      <c r="E34" s="6"/>
      <c r="F34" s="6"/>
      <c r="G34" s="32" t="str">
        <f t="shared" si="2"/>
        <v/>
      </c>
    </row>
    <row r="35" spans="1:7" x14ac:dyDescent="0.2">
      <c r="A35" s="25">
        <v>3</v>
      </c>
      <c r="B35" s="26"/>
      <c r="C35" s="26"/>
      <c r="D35" s="6"/>
      <c r="E35" s="6"/>
      <c r="F35" s="6"/>
      <c r="G35" s="32" t="str">
        <f t="shared" si="2"/>
        <v/>
      </c>
    </row>
    <row r="36" spans="1:7" x14ac:dyDescent="0.2">
      <c r="A36" s="25">
        <v>4</v>
      </c>
      <c r="B36" s="26"/>
      <c r="C36" s="26"/>
      <c r="D36" s="6"/>
      <c r="E36" s="6"/>
      <c r="F36" s="6"/>
      <c r="G36" s="32" t="str">
        <f t="shared" si="2"/>
        <v/>
      </c>
    </row>
    <row r="37" spans="1:7" x14ac:dyDescent="0.2">
      <c r="A37" s="25">
        <v>5</v>
      </c>
      <c r="B37" s="26"/>
      <c r="C37" s="26"/>
      <c r="D37" s="6"/>
      <c r="E37" s="6"/>
      <c r="F37" s="6"/>
      <c r="G37" s="32" t="str">
        <f t="shared" si="2"/>
        <v/>
      </c>
    </row>
    <row r="38" spans="1:7" x14ac:dyDescent="0.2">
      <c r="A38" s="25">
        <v>6</v>
      </c>
      <c r="B38" s="26"/>
      <c r="C38" s="26"/>
      <c r="D38" s="6"/>
      <c r="E38" s="6"/>
      <c r="F38" s="6"/>
      <c r="G38" s="32" t="str">
        <f t="shared" si="2"/>
        <v/>
      </c>
    </row>
    <row r="39" spans="1:7" x14ac:dyDescent="0.2">
      <c r="A39" s="25">
        <v>7</v>
      </c>
      <c r="B39" s="26"/>
      <c r="C39" s="26"/>
      <c r="D39" s="6"/>
      <c r="E39" s="6"/>
      <c r="F39" s="6"/>
      <c r="G39" s="32" t="str">
        <f t="shared" si="2"/>
        <v/>
      </c>
    </row>
    <row r="40" spans="1:7" ht="15" customHeight="1" x14ac:dyDescent="0.2">
      <c r="A40" s="11" t="s">
        <v>66</v>
      </c>
      <c r="B40" s="11"/>
      <c r="C40" s="11"/>
      <c r="D40" s="11"/>
      <c r="E40" s="11"/>
      <c r="F40" s="11"/>
      <c r="G40" s="32" t="str">
        <f>IF(COUNT(D33:D39)=0,"รอข้อมูล",IF(COUNTIF(G33:G39,"ไม่ผ่าน*")=0,"ผ่าน ✓","ไม่ผ่าน ✗"))</f>
        <v>รอข้อมูล</v>
      </c>
    </row>
    <row r="42" spans="1:7" ht="18" customHeight="1" x14ac:dyDescent="0.2">
      <c r="A42" s="13" t="s">
        <v>67</v>
      </c>
      <c r="B42" s="13"/>
      <c r="C42" s="13"/>
      <c r="D42" s="13"/>
      <c r="E42" s="13"/>
      <c r="F42" s="13"/>
      <c r="G42" s="13"/>
    </row>
    <row r="43" spans="1:7" ht="31.5" customHeight="1" x14ac:dyDescent="0.2">
      <c r="A43" s="21" t="s">
        <v>30</v>
      </c>
      <c r="B43" s="21" t="s">
        <v>68</v>
      </c>
      <c r="C43" s="21" t="s">
        <v>69</v>
      </c>
      <c r="D43" s="21" t="s">
        <v>70</v>
      </c>
      <c r="E43" s="10" t="s">
        <v>71</v>
      </c>
      <c r="F43" s="10"/>
      <c r="G43" s="21" t="s">
        <v>34</v>
      </c>
    </row>
    <row r="44" spans="1:7" x14ac:dyDescent="0.2">
      <c r="A44" s="22" t="s">
        <v>35</v>
      </c>
      <c r="B44" s="22" t="s">
        <v>72</v>
      </c>
      <c r="C44" s="22" t="s">
        <v>73</v>
      </c>
      <c r="D44" s="22" t="s">
        <v>60</v>
      </c>
      <c r="E44" s="5">
        <v>120</v>
      </c>
      <c r="F44" s="5"/>
      <c r="G44" s="22" t="s">
        <v>74</v>
      </c>
    </row>
    <row r="45" spans="1:7" x14ac:dyDescent="0.2">
      <c r="A45" s="25">
        <v>1</v>
      </c>
      <c r="B45" s="28"/>
      <c r="C45" s="28"/>
      <c r="D45" s="28"/>
      <c r="E45" s="4"/>
      <c r="F45" s="4"/>
      <c r="G45" s="28"/>
    </row>
    <row r="46" spans="1:7" x14ac:dyDescent="0.2">
      <c r="A46" s="25">
        <v>2</v>
      </c>
      <c r="B46" s="28"/>
      <c r="C46" s="28"/>
      <c r="D46" s="28"/>
      <c r="E46" s="4"/>
      <c r="F46" s="4"/>
      <c r="G46" s="28"/>
    </row>
    <row r="47" spans="1:7" x14ac:dyDescent="0.2">
      <c r="A47" s="25">
        <v>3</v>
      </c>
      <c r="B47" s="28"/>
      <c r="C47" s="28"/>
      <c r="D47" s="28"/>
      <c r="E47" s="4"/>
      <c r="F47" s="4"/>
      <c r="G47" s="28"/>
    </row>
    <row r="48" spans="1:7" x14ac:dyDescent="0.2">
      <c r="A48" s="25">
        <v>4</v>
      </c>
      <c r="B48" s="28"/>
      <c r="C48" s="28"/>
      <c r="D48" s="28"/>
      <c r="E48" s="4"/>
      <c r="F48" s="4"/>
      <c r="G48" s="28"/>
    </row>
    <row r="49" spans="1:7" x14ac:dyDescent="0.2">
      <c r="A49" s="25">
        <v>5</v>
      </c>
      <c r="B49" s="28"/>
      <c r="C49" s="28"/>
      <c r="D49" s="28"/>
      <c r="E49" s="4"/>
      <c r="F49" s="4"/>
      <c r="G49" s="28"/>
    </row>
    <row r="50" spans="1:7" x14ac:dyDescent="0.2">
      <c r="A50" s="25">
        <v>6</v>
      </c>
      <c r="B50" s="28"/>
      <c r="C50" s="28"/>
      <c r="D50" s="28"/>
      <c r="E50" s="4"/>
      <c r="F50" s="4"/>
      <c r="G50" s="28"/>
    </row>
    <row r="51" spans="1:7" x14ac:dyDescent="0.2">
      <c r="A51" s="25">
        <v>7</v>
      </c>
      <c r="B51" s="28"/>
      <c r="C51" s="28"/>
      <c r="D51" s="28"/>
      <c r="E51" s="4"/>
      <c r="F51" s="4"/>
      <c r="G51" s="28"/>
    </row>
    <row r="52" spans="1:7" ht="15" customHeight="1" x14ac:dyDescent="0.2">
      <c r="A52" s="11" t="s">
        <v>75</v>
      </c>
      <c r="B52" s="11"/>
      <c r="C52" s="11"/>
      <c r="D52" s="32" t="str">
        <f>IF(COUNTA(D45:D51)=0,"รอข้อมูล",IF(COUNTIF(D45:D51,"N")=0,"ผ่าน ✓","ไม่ผ่าน ✗"))</f>
        <v>รอข้อมูล</v>
      </c>
    </row>
  </sheetData>
  <mergeCells count="38">
    <mergeCell ref="E50:F50"/>
    <mergeCell ref="E51:F51"/>
    <mergeCell ref="A52:C52"/>
    <mergeCell ref="E45:F45"/>
    <mergeCell ref="E46:F46"/>
    <mergeCell ref="E47:F47"/>
    <mergeCell ref="E48:F48"/>
    <mergeCell ref="E49:F49"/>
    <mergeCell ref="D39:F39"/>
    <mergeCell ref="A40:F40"/>
    <mergeCell ref="A42:G42"/>
    <mergeCell ref="E43:F43"/>
    <mergeCell ref="E44:F44"/>
    <mergeCell ref="D34:F34"/>
    <mergeCell ref="D35:F35"/>
    <mergeCell ref="D36:F36"/>
    <mergeCell ref="D37:F37"/>
    <mergeCell ref="D38:F38"/>
    <mergeCell ref="A28:B28"/>
    <mergeCell ref="A30:G30"/>
    <mergeCell ref="D31:F31"/>
    <mergeCell ref="D32:F32"/>
    <mergeCell ref="D33:F33"/>
    <mergeCell ref="C23:F23"/>
    <mergeCell ref="C24:F24"/>
    <mergeCell ref="C25:F25"/>
    <mergeCell ref="C26:F26"/>
    <mergeCell ref="C27:F27"/>
    <mergeCell ref="A18:G18"/>
    <mergeCell ref="C19:F19"/>
    <mergeCell ref="C20:F20"/>
    <mergeCell ref="C21:F21"/>
    <mergeCell ref="C22:F22"/>
    <mergeCell ref="A1:G1"/>
    <mergeCell ref="A3:G3"/>
    <mergeCell ref="D4:E4"/>
    <mergeCell ref="A6:G6"/>
    <mergeCell ref="A16:E16"/>
  </mergeCells>
  <conditionalFormatting sqref="D52">
    <cfRule type="expression" dxfId="32" priority="14">
      <formula>LEFT(D52,2)="ผ่า"</formula>
    </cfRule>
    <cfRule type="expression" dxfId="31" priority="15">
      <formula>LEFT(D52,2)="ไม่"</formula>
    </cfRule>
    <cfRule type="expression" dxfId="30" priority="16">
      <formula>LEFT(D52,2)="รอ"</formula>
    </cfRule>
  </conditionalFormatting>
  <conditionalFormatting sqref="G9:G16">
    <cfRule type="expression" dxfId="29" priority="2">
      <formula>LEFT(G9,2)="ผ่า"</formula>
    </cfRule>
    <cfRule type="expression" dxfId="28" priority="3">
      <formula>LEFT(G9,2)="ไม่"</formula>
    </cfRule>
    <cfRule type="expression" dxfId="27" priority="4">
      <formula>LEFT(G9,2)="รอ"</formula>
    </cfRule>
  </conditionalFormatting>
  <conditionalFormatting sqref="G33:G40">
    <cfRule type="expression" dxfId="26" priority="8">
      <formula>LEFT(G33,2)="ผ่า"</formula>
    </cfRule>
    <cfRule type="expression" dxfId="25" priority="9">
      <formula>LEFT(G33,2)="ไม่"</formula>
    </cfRule>
    <cfRule type="expression" dxfId="24" priority="10">
      <formula>LEFT(G33,2)="รอ"</formula>
    </cfRule>
  </conditionalFormatting>
  <dataValidations count="1">
    <dataValidation type="list" allowBlank="1" sqref="D45:D51 C21:C27" xr:uid="{00000000-0002-0000-02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zoomScaleNormal="100" workbookViewId="0">
      <selection sqref="A1:H19"/>
    </sheetView>
  </sheetViews>
  <sheetFormatPr baseColWidth="10" defaultColWidth="8.6640625" defaultRowHeight="15" x14ac:dyDescent="0.2"/>
  <cols>
    <col min="1" max="1" width="8" customWidth="1"/>
    <col min="2" max="3" width="14" customWidth="1"/>
    <col min="4" max="4" width="16" customWidth="1"/>
    <col min="5" max="5" width="14" customWidth="1"/>
    <col min="6" max="6" width="16" customWidth="1"/>
    <col min="7" max="8" width="12" customWidth="1"/>
  </cols>
  <sheetData>
    <row r="1" spans="1:8" ht="25.5" customHeight="1" x14ac:dyDescent="0.2">
      <c r="A1" s="14" t="s">
        <v>76</v>
      </c>
      <c r="B1" s="14"/>
      <c r="C1" s="14"/>
      <c r="D1" s="14"/>
      <c r="E1" s="14"/>
      <c r="F1" s="14"/>
      <c r="G1" s="14"/>
      <c r="H1" s="14"/>
    </row>
    <row r="3" spans="1:8" ht="18" customHeight="1" x14ac:dyDescent="0.2">
      <c r="A3" s="13" t="s">
        <v>24</v>
      </c>
      <c r="B3" s="13"/>
      <c r="C3" s="13"/>
      <c r="D3" s="13"/>
      <c r="E3" s="13"/>
      <c r="F3" s="13"/>
      <c r="G3" s="13"/>
      <c r="H3" s="13"/>
    </row>
    <row r="4" spans="1:8" ht="28" x14ac:dyDescent="0.2">
      <c r="A4" s="19" t="s">
        <v>25</v>
      </c>
      <c r="B4" s="20"/>
      <c r="C4" s="19" t="s">
        <v>26</v>
      </c>
      <c r="D4" s="12"/>
      <c r="E4" s="12"/>
    </row>
    <row r="6" spans="1:8" ht="18" customHeight="1" x14ac:dyDescent="0.2">
      <c r="A6" s="13" t="s">
        <v>77</v>
      </c>
      <c r="B6" s="13"/>
      <c r="C6" s="13"/>
      <c r="D6" s="13"/>
      <c r="E6" s="13"/>
      <c r="F6" s="13"/>
      <c r="G6" s="13"/>
      <c r="H6" s="13"/>
    </row>
    <row r="7" spans="1:8" ht="31.5" customHeight="1" x14ac:dyDescent="0.2">
      <c r="A7" s="21" t="s">
        <v>30</v>
      </c>
      <c r="B7" s="21" t="s">
        <v>39</v>
      </c>
      <c r="C7" s="21" t="s">
        <v>40</v>
      </c>
      <c r="D7" s="21" t="s">
        <v>78</v>
      </c>
      <c r="E7" s="21" t="s">
        <v>79</v>
      </c>
      <c r="F7" s="21" t="s">
        <v>80</v>
      </c>
      <c r="G7" s="21" t="s">
        <v>43</v>
      </c>
      <c r="H7" s="21" t="s">
        <v>55</v>
      </c>
    </row>
    <row r="8" spans="1:8" x14ac:dyDescent="0.2">
      <c r="A8" s="22" t="s">
        <v>35</v>
      </c>
      <c r="B8" s="22" t="s">
        <v>45</v>
      </c>
      <c r="C8" s="22" t="s">
        <v>81</v>
      </c>
      <c r="D8" s="22" t="s">
        <v>82</v>
      </c>
      <c r="E8" s="33">
        <v>25</v>
      </c>
      <c r="F8" s="33">
        <v>3</v>
      </c>
      <c r="G8" s="34">
        <f t="shared" ref="G8:G18" si="0">IF(OR(E8="",F8=""),"",IFERROR((E8-F8)/E8,""))</f>
        <v>0.88</v>
      </c>
      <c r="H8" s="22" t="str">
        <f t="shared" ref="H8:H18" si="1">IF(G8="","",IF(D8="แปรง+ดูด",IF(G8&gt;=0.8,"ผ่าน ✓","ไม่ผ่าน ✗"),"อ้างอิง"))</f>
        <v>ผ่าน ✓</v>
      </c>
    </row>
    <row r="9" spans="1:8" x14ac:dyDescent="0.2">
      <c r="A9" s="25">
        <v>1</v>
      </c>
      <c r="B9" s="28"/>
      <c r="C9" s="28"/>
      <c r="D9" s="28"/>
      <c r="E9" s="35"/>
      <c r="F9" s="35"/>
      <c r="G9" s="36" t="str">
        <f t="shared" si="0"/>
        <v/>
      </c>
      <c r="H9" s="32" t="str">
        <f t="shared" si="1"/>
        <v/>
      </c>
    </row>
    <row r="10" spans="1:8" x14ac:dyDescent="0.2">
      <c r="A10" s="25">
        <v>2</v>
      </c>
      <c r="B10" s="28"/>
      <c r="C10" s="28"/>
      <c r="D10" s="28"/>
      <c r="E10" s="35"/>
      <c r="F10" s="35"/>
      <c r="G10" s="36" t="str">
        <f t="shared" si="0"/>
        <v/>
      </c>
      <c r="H10" s="32" t="str">
        <f t="shared" si="1"/>
        <v/>
      </c>
    </row>
    <row r="11" spans="1:8" x14ac:dyDescent="0.2">
      <c r="A11" s="25">
        <v>3</v>
      </c>
      <c r="B11" s="28"/>
      <c r="C11" s="28"/>
      <c r="D11" s="28"/>
      <c r="E11" s="35"/>
      <c r="F11" s="35"/>
      <c r="G11" s="36" t="str">
        <f t="shared" si="0"/>
        <v/>
      </c>
      <c r="H11" s="32" t="str">
        <f t="shared" si="1"/>
        <v/>
      </c>
    </row>
    <row r="12" spans="1:8" x14ac:dyDescent="0.2">
      <c r="A12" s="25">
        <v>4</v>
      </c>
      <c r="B12" s="28"/>
      <c r="C12" s="28"/>
      <c r="D12" s="28"/>
      <c r="E12" s="35"/>
      <c r="F12" s="35"/>
      <c r="G12" s="36" t="str">
        <f t="shared" si="0"/>
        <v/>
      </c>
      <c r="H12" s="32" t="str">
        <f t="shared" si="1"/>
        <v/>
      </c>
    </row>
    <row r="13" spans="1:8" x14ac:dyDescent="0.2">
      <c r="A13" s="25">
        <v>5</v>
      </c>
      <c r="B13" s="28"/>
      <c r="C13" s="28"/>
      <c r="D13" s="28"/>
      <c r="E13" s="35"/>
      <c r="F13" s="35"/>
      <c r="G13" s="36" t="str">
        <f t="shared" si="0"/>
        <v/>
      </c>
      <c r="H13" s="32" t="str">
        <f t="shared" si="1"/>
        <v/>
      </c>
    </row>
    <row r="14" spans="1:8" x14ac:dyDescent="0.2">
      <c r="A14" s="25">
        <v>6</v>
      </c>
      <c r="B14" s="28"/>
      <c r="C14" s="28"/>
      <c r="D14" s="28"/>
      <c r="E14" s="35"/>
      <c r="F14" s="35"/>
      <c r="G14" s="36" t="str">
        <f t="shared" si="0"/>
        <v/>
      </c>
      <c r="H14" s="32" t="str">
        <f t="shared" si="1"/>
        <v/>
      </c>
    </row>
    <row r="15" spans="1:8" x14ac:dyDescent="0.2">
      <c r="A15" s="25">
        <v>7</v>
      </c>
      <c r="B15" s="28"/>
      <c r="C15" s="28"/>
      <c r="D15" s="28"/>
      <c r="E15" s="35"/>
      <c r="F15" s="35"/>
      <c r="G15" s="36" t="str">
        <f t="shared" si="0"/>
        <v/>
      </c>
      <c r="H15" s="32" t="str">
        <f t="shared" si="1"/>
        <v/>
      </c>
    </row>
    <row r="16" spans="1:8" x14ac:dyDescent="0.2">
      <c r="A16" s="25">
        <v>8</v>
      </c>
      <c r="B16" s="28"/>
      <c r="C16" s="28"/>
      <c r="D16" s="28"/>
      <c r="E16" s="35"/>
      <c r="F16" s="35"/>
      <c r="G16" s="36" t="str">
        <f t="shared" si="0"/>
        <v/>
      </c>
      <c r="H16" s="32" t="str">
        <f t="shared" si="1"/>
        <v/>
      </c>
    </row>
    <row r="17" spans="1:8" x14ac:dyDescent="0.2">
      <c r="A17" s="25">
        <v>9</v>
      </c>
      <c r="B17" s="28"/>
      <c r="C17" s="28"/>
      <c r="D17" s="28"/>
      <c r="E17" s="35"/>
      <c r="F17" s="35"/>
      <c r="G17" s="36" t="str">
        <f t="shared" si="0"/>
        <v/>
      </c>
      <c r="H17" s="32" t="str">
        <f t="shared" si="1"/>
        <v/>
      </c>
    </row>
    <row r="18" spans="1:8" x14ac:dyDescent="0.2">
      <c r="A18" s="25">
        <v>10</v>
      </c>
      <c r="B18" s="28"/>
      <c r="C18" s="28"/>
      <c r="D18" s="28"/>
      <c r="E18" s="35"/>
      <c r="F18" s="35"/>
      <c r="G18" s="36" t="str">
        <f t="shared" si="0"/>
        <v/>
      </c>
      <c r="H18" s="32" t="str">
        <f t="shared" si="1"/>
        <v/>
      </c>
    </row>
    <row r="19" spans="1:8" ht="15" customHeight="1" x14ac:dyDescent="0.2">
      <c r="A19" s="11" t="s">
        <v>47</v>
      </c>
      <c r="B19" s="11"/>
      <c r="C19" s="11"/>
      <c r="D19" s="11"/>
      <c r="E19" s="11"/>
      <c r="F19" s="11"/>
      <c r="G19" s="36" t="str">
        <f>IFERROR(AVERAGE(G9:G18),"")</f>
        <v/>
      </c>
      <c r="H19" s="32" t="str">
        <f>IF(COUNT(G9:G18)=0,"รอข้อมูล",IF(COUNTIF(H9:H18,"ไม่ผ่าน*")=0,"ผ่าน ✓","ไม่ผ่าน ✗"))</f>
        <v>รอข้อมูล</v>
      </c>
    </row>
  </sheetData>
  <mergeCells count="5">
    <mergeCell ref="A1:H1"/>
    <mergeCell ref="A3:H3"/>
    <mergeCell ref="D4:E4"/>
    <mergeCell ref="A6:H6"/>
    <mergeCell ref="A19:F19"/>
  </mergeCells>
  <conditionalFormatting sqref="H9:H19">
    <cfRule type="expression" dxfId="23" priority="2">
      <formula>LEFT(H9,2)="ผ่า"</formula>
    </cfRule>
    <cfRule type="expression" dxfId="22" priority="3">
      <formula>LEFT(H9,2)="ไม่"</formula>
    </cfRule>
    <cfRule type="expression" dxfId="21" priority="4">
      <formula>LEFT(H9,2)="รอ"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3"/>
  <sheetViews>
    <sheetView tabSelected="1" zoomScaleNormal="100" workbookViewId="0">
      <selection sqref="A1:F83"/>
    </sheetView>
  </sheetViews>
  <sheetFormatPr baseColWidth="10" defaultColWidth="8.6640625" defaultRowHeight="15" x14ac:dyDescent="0.2"/>
  <cols>
    <col min="1" max="1" width="8" customWidth="1"/>
    <col min="2" max="3" width="14" customWidth="1"/>
    <col min="4" max="6" width="12" customWidth="1"/>
  </cols>
  <sheetData>
    <row r="1" spans="1:6" ht="25.5" customHeight="1" x14ac:dyDescent="0.2">
      <c r="A1" s="14" t="s">
        <v>83</v>
      </c>
      <c r="B1" s="14"/>
      <c r="C1" s="14"/>
      <c r="D1" s="14"/>
      <c r="E1" s="14"/>
      <c r="F1" s="14"/>
    </row>
    <row r="3" spans="1:6" ht="18" customHeight="1" x14ac:dyDescent="0.2">
      <c r="A3" s="13" t="s">
        <v>84</v>
      </c>
      <c r="B3" s="13"/>
      <c r="C3" s="13"/>
      <c r="D3" s="13"/>
      <c r="E3" s="13"/>
      <c r="F3" s="13"/>
    </row>
    <row r="4" spans="1:6" ht="28" x14ac:dyDescent="0.2">
      <c r="A4" s="19" t="s">
        <v>25</v>
      </c>
      <c r="B4" s="20"/>
      <c r="C4" s="19" t="s">
        <v>26</v>
      </c>
      <c r="D4" s="12"/>
      <c r="E4" s="12"/>
    </row>
    <row r="5" spans="1:6" ht="28" x14ac:dyDescent="0.2">
      <c r="A5" s="19" t="s">
        <v>85</v>
      </c>
      <c r="B5" s="20" t="s">
        <v>86</v>
      </c>
    </row>
    <row r="7" spans="1:6" ht="18" customHeight="1" x14ac:dyDescent="0.2">
      <c r="A7" s="13" t="s">
        <v>87</v>
      </c>
      <c r="B7" s="13"/>
      <c r="C7" s="13"/>
      <c r="D7" s="13"/>
      <c r="E7" s="13"/>
      <c r="F7" s="13"/>
    </row>
    <row r="8" spans="1:6" ht="31.5" customHeight="1" x14ac:dyDescent="0.2">
      <c r="A8" s="21" t="s">
        <v>30</v>
      </c>
      <c r="B8" s="21" t="s">
        <v>88</v>
      </c>
      <c r="C8" s="21" t="s">
        <v>89</v>
      </c>
      <c r="D8" s="21" t="s">
        <v>90</v>
      </c>
      <c r="E8" s="21" t="s">
        <v>91</v>
      </c>
      <c r="F8" s="21" t="s">
        <v>55</v>
      </c>
    </row>
    <row r="9" spans="1:6" x14ac:dyDescent="0.2">
      <c r="A9" s="22" t="s">
        <v>35</v>
      </c>
      <c r="B9" s="22" t="s">
        <v>92</v>
      </c>
      <c r="C9" s="23">
        <v>3.2</v>
      </c>
      <c r="D9" s="23">
        <v>3</v>
      </c>
      <c r="E9" s="23">
        <f t="shared" ref="E9:E16" si="0">IF(C9="","",ABS(C9-D9))</f>
        <v>0.20000000000000018</v>
      </c>
      <c r="F9" s="22" t="str">
        <f t="shared" ref="F9:F16" si="1">IF(E9="","",IF(E9&lt;=0.5,"ผ่าน ✓","ไม่ผ่าน ✗"))</f>
        <v>ผ่าน ✓</v>
      </c>
    </row>
    <row r="10" spans="1:6" x14ac:dyDescent="0.2">
      <c r="A10" s="25">
        <v>1</v>
      </c>
      <c r="B10" s="28"/>
      <c r="C10" s="26"/>
      <c r="D10" s="37">
        <v>3</v>
      </c>
      <c r="E10" s="30" t="str">
        <f t="shared" si="0"/>
        <v/>
      </c>
      <c r="F10" s="32" t="str">
        <f t="shared" si="1"/>
        <v/>
      </c>
    </row>
    <row r="11" spans="1:6" x14ac:dyDescent="0.2">
      <c r="A11" s="25">
        <v>2</v>
      </c>
      <c r="B11" s="28"/>
      <c r="C11" s="26"/>
      <c r="D11" s="37">
        <v>3</v>
      </c>
      <c r="E11" s="30" t="str">
        <f t="shared" si="0"/>
        <v/>
      </c>
      <c r="F11" s="32" t="str">
        <f t="shared" si="1"/>
        <v/>
      </c>
    </row>
    <row r="12" spans="1:6" x14ac:dyDescent="0.2">
      <c r="A12" s="25">
        <v>3</v>
      </c>
      <c r="B12" s="28"/>
      <c r="C12" s="26"/>
      <c r="D12" s="37">
        <v>3</v>
      </c>
      <c r="E12" s="30" t="str">
        <f t="shared" si="0"/>
        <v/>
      </c>
      <c r="F12" s="32" t="str">
        <f t="shared" si="1"/>
        <v/>
      </c>
    </row>
    <row r="13" spans="1:6" x14ac:dyDescent="0.2">
      <c r="A13" s="25">
        <v>4</v>
      </c>
      <c r="B13" s="28"/>
      <c r="C13" s="26"/>
      <c r="D13" s="37">
        <v>3</v>
      </c>
      <c r="E13" s="30" t="str">
        <f t="shared" si="0"/>
        <v/>
      </c>
      <c r="F13" s="32" t="str">
        <f t="shared" si="1"/>
        <v/>
      </c>
    </row>
    <row r="14" spans="1:6" x14ac:dyDescent="0.2">
      <c r="A14" s="25">
        <v>5</v>
      </c>
      <c r="B14" s="28"/>
      <c r="C14" s="26"/>
      <c r="D14" s="37">
        <v>3</v>
      </c>
      <c r="E14" s="30" t="str">
        <f t="shared" si="0"/>
        <v/>
      </c>
      <c r="F14" s="32" t="str">
        <f t="shared" si="1"/>
        <v/>
      </c>
    </row>
    <row r="15" spans="1:6" x14ac:dyDescent="0.2">
      <c r="A15" s="25">
        <v>6</v>
      </c>
      <c r="B15" s="28"/>
      <c r="C15" s="26"/>
      <c r="D15" s="37">
        <v>3</v>
      </c>
      <c r="E15" s="30" t="str">
        <f t="shared" si="0"/>
        <v/>
      </c>
      <c r="F15" s="32" t="str">
        <f t="shared" si="1"/>
        <v/>
      </c>
    </row>
    <row r="16" spans="1:6" x14ac:dyDescent="0.2">
      <c r="A16" s="25">
        <v>7</v>
      </c>
      <c r="B16" s="28"/>
      <c r="C16" s="26"/>
      <c r="D16" s="37">
        <v>3</v>
      </c>
      <c r="E16" s="30" t="str">
        <f t="shared" si="0"/>
        <v/>
      </c>
      <c r="F16" s="32" t="str">
        <f t="shared" si="1"/>
        <v/>
      </c>
    </row>
    <row r="17" spans="1:6" ht="15" customHeight="1" x14ac:dyDescent="0.2">
      <c r="A17" s="11" t="s">
        <v>66</v>
      </c>
      <c r="B17" s="11"/>
      <c r="C17" s="11"/>
      <c r="D17" s="11"/>
      <c r="F17" s="32" t="str">
        <f>IF(COUNT(C10:C16)=0,"รอข้อมูล",IF(COUNTIF(F10:F16,"ไม่ผ่าน*")=0,"ผ่าน ✓","ไม่ผ่าน ✗"))</f>
        <v>รอข้อมูล</v>
      </c>
    </row>
    <row r="19" spans="1:6" ht="18" customHeight="1" x14ac:dyDescent="0.2">
      <c r="A19" s="13" t="s">
        <v>93</v>
      </c>
      <c r="B19" s="13"/>
      <c r="C19" s="13"/>
      <c r="D19" s="13"/>
      <c r="E19" s="13"/>
      <c r="F19" s="13"/>
    </row>
    <row r="20" spans="1:6" ht="31.5" customHeight="1" x14ac:dyDescent="0.2">
      <c r="A20" s="21" t="s">
        <v>30</v>
      </c>
      <c r="B20" s="21" t="s">
        <v>94</v>
      </c>
      <c r="C20" s="10" t="s">
        <v>95</v>
      </c>
      <c r="D20" s="10"/>
      <c r="E20" s="10"/>
      <c r="F20" s="21" t="s">
        <v>55</v>
      </c>
    </row>
    <row r="21" spans="1:6" x14ac:dyDescent="0.2">
      <c r="A21" s="22" t="s">
        <v>35</v>
      </c>
      <c r="B21" s="23">
        <v>0.95</v>
      </c>
      <c r="C21" s="3">
        <v>0.91</v>
      </c>
      <c r="D21" s="3"/>
      <c r="E21" s="3"/>
      <c r="F21" s="22" t="str">
        <f t="shared" ref="F21:F28" si="2">IF(B21="","",IF(B21&lt;=C21*1.2,"ผ่าน ✓","ไม่ผ่าน ✗"))</f>
        <v>ผ่าน ✓</v>
      </c>
    </row>
    <row r="22" spans="1:6" x14ac:dyDescent="0.2">
      <c r="A22" s="25">
        <v>1</v>
      </c>
      <c r="B22" s="26"/>
      <c r="C22" s="2">
        <v>0.91</v>
      </c>
      <c r="D22" s="2"/>
      <c r="E22" s="2"/>
      <c r="F22" s="32" t="str">
        <f t="shared" si="2"/>
        <v/>
      </c>
    </row>
    <row r="23" spans="1:6" x14ac:dyDescent="0.2">
      <c r="A23" s="25">
        <v>2</v>
      </c>
      <c r="B23" s="26"/>
      <c r="C23" s="2">
        <v>0.91</v>
      </c>
      <c r="D23" s="2"/>
      <c r="E23" s="2"/>
      <c r="F23" s="32" t="str">
        <f t="shared" si="2"/>
        <v/>
      </c>
    </row>
    <row r="24" spans="1:6" x14ac:dyDescent="0.2">
      <c r="A24" s="25">
        <v>3</v>
      </c>
      <c r="B24" s="26"/>
      <c r="C24" s="2">
        <v>0.91</v>
      </c>
      <c r="D24" s="2"/>
      <c r="E24" s="2"/>
      <c r="F24" s="32" t="str">
        <f t="shared" si="2"/>
        <v/>
      </c>
    </row>
    <row r="25" spans="1:6" x14ac:dyDescent="0.2">
      <c r="A25" s="25">
        <v>4</v>
      </c>
      <c r="B25" s="26"/>
      <c r="C25" s="2">
        <v>0.91</v>
      </c>
      <c r="D25" s="2"/>
      <c r="E25" s="2"/>
      <c r="F25" s="32" t="str">
        <f t="shared" si="2"/>
        <v/>
      </c>
    </row>
    <row r="26" spans="1:6" x14ac:dyDescent="0.2">
      <c r="A26" s="25">
        <v>5</v>
      </c>
      <c r="B26" s="26"/>
      <c r="C26" s="2">
        <v>0.91</v>
      </c>
      <c r="D26" s="2"/>
      <c r="E26" s="2"/>
      <c r="F26" s="32" t="str">
        <f t="shared" si="2"/>
        <v/>
      </c>
    </row>
    <row r="27" spans="1:6" x14ac:dyDescent="0.2">
      <c r="A27" s="25">
        <v>6</v>
      </c>
      <c r="B27" s="26"/>
      <c r="C27" s="2">
        <v>0.91</v>
      </c>
      <c r="D27" s="2"/>
      <c r="E27" s="2"/>
      <c r="F27" s="32" t="str">
        <f t="shared" si="2"/>
        <v/>
      </c>
    </row>
    <row r="28" spans="1:6" x14ac:dyDescent="0.2">
      <c r="A28" s="25">
        <v>7</v>
      </c>
      <c r="B28" s="26"/>
      <c r="C28" s="2">
        <v>0.91</v>
      </c>
      <c r="D28" s="2"/>
      <c r="E28" s="2"/>
      <c r="F28" s="32" t="str">
        <f t="shared" si="2"/>
        <v/>
      </c>
    </row>
    <row r="29" spans="1:6" ht="15" customHeight="1" x14ac:dyDescent="0.2">
      <c r="A29" s="11" t="s">
        <v>66</v>
      </c>
      <c r="B29" s="11"/>
      <c r="C29" s="11"/>
      <c r="F29" s="32" t="str">
        <f>IF(COUNT(B22:B28)=0,"รอข้อมูล",IF(COUNTIF(F22:F28,"ไม่ผ่าน*")=0,"ผ่าน ✓","ไม่ผ่าน ✗"))</f>
        <v>รอข้อมูล</v>
      </c>
    </row>
    <row r="31" spans="1:6" ht="18" customHeight="1" x14ac:dyDescent="0.2">
      <c r="A31" s="13" t="s">
        <v>96</v>
      </c>
      <c r="B31" s="13"/>
      <c r="C31" s="13"/>
      <c r="D31" s="13"/>
      <c r="E31" s="13"/>
      <c r="F31" s="13"/>
    </row>
    <row r="32" spans="1:6" ht="31.5" customHeight="1" x14ac:dyDescent="0.2">
      <c r="A32" s="21" t="s">
        <v>30</v>
      </c>
      <c r="B32" s="21" t="s">
        <v>97</v>
      </c>
      <c r="C32" s="10" t="s">
        <v>98</v>
      </c>
      <c r="D32" s="10"/>
      <c r="E32" s="10"/>
      <c r="F32" s="21" t="s">
        <v>55</v>
      </c>
    </row>
    <row r="33" spans="1:6" x14ac:dyDescent="0.2">
      <c r="A33" s="22" t="s">
        <v>35</v>
      </c>
      <c r="B33" s="33">
        <v>8.5</v>
      </c>
      <c r="C33" s="7">
        <v>9.3000000000000007</v>
      </c>
      <c r="D33" s="7"/>
      <c r="E33" s="7"/>
      <c r="F33" s="22" t="str">
        <f t="shared" ref="F33:F40" si="3">IF(B33="","",IF(B33&lt;=C33,"ผ่าน ✓","ไม่ผ่าน ✗"))</f>
        <v>ผ่าน ✓</v>
      </c>
    </row>
    <row r="34" spans="1:6" x14ac:dyDescent="0.2">
      <c r="A34" s="25">
        <v>1</v>
      </c>
      <c r="B34" s="35"/>
      <c r="C34" s="1">
        <v>9.3000000000000007</v>
      </c>
      <c r="D34" s="1"/>
      <c r="E34" s="1"/>
      <c r="F34" s="32" t="str">
        <f t="shared" si="3"/>
        <v/>
      </c>
    </row>
    <row r="35" spans="1:6" x14ac:dyDescent="0.2">
      <c r="A35" s="25">
        <v>2</v>
      </c>
      <c r="B35" s="35"/>
      <c r="C35" s="1">
        <v>9.3000000000000007</v>
      </c>
      <c r="D35" s="1"/>
      <c r="E35" s="1"/>
      <c r="F35" s="32" t="str">
        <f t="shared" si="3"/>
        <v/>
      </c>
    </row>
    <row r="36" spans="1:6" x14ac:dyDescent="0.2">
      <c r="A36" s="25">
        <v>3</v>
      </c>
      <c r="B36" s="35"/>
      <c r="C36" s="1">
        <v>9.3000000000000007</v>
      </c>
      <c r="D36" s="1"/>
      <c r="E36" s="1"/>
      <c r="F36" s="32" t="str">
        <f t="shared" si="3"/>
        <v/>
      </c>
    </row>
    <row r="37" spans="1:6" x14ac:dyDescent="0.2">
      <c r="A37" s="25">
        <v>4</v>
      </c>
      <c r="B37" s="35"/>
      <c r="C37" s="1">
        <v>9.3000000000000007</v>
      </c>
      <c r="D37" s="1"/>
      <c r="E37" s="1"/>
      <c r="F37" s="32" t="str">
        <f t="shared" si="3"/>
        <v/>
      </c>
    </row>
    <row r="38" spans="1:6" x14ac:dyDescent="0.2">
      <c r="A38" s="25">
        <v>5</v>
      </c>
      <c r="B38" s="35"/>
      <c r="C38" s="1">
        <v>9.3000000000000007</v>
      </c>
      <c r="D38" s="1"/>
      <c r="E38" s="1"/>
      <c r="F38" s="32" t="str">
        <f t="shared" si="3"/>
        <v/>
      </c>
    </row>
    <row r="39" spans="1:6" x14ac:dyDescent="0.2">
      <c r="A39" s="25">
        <v>6</v>
      </c>
      <c r="B39" s="35"/>
      <c r="C39" s="1">
        <v>9.3000000000000007</v>
      </c>
      <c r="D39" s="1"/>
      <c r="E39" s="1"/>
      <c r="F39" s="32" t="str">
        <f t="shared" si="3"/>
        <v/>
      </c>
    </row>
    <row r="40" spans="1:6" x14ac:dyDescent="0.2">
      <c r="A40" s="25">
        <v>7</v>
      </c>
      <c r="B40" s="35"/>
      <c r="C40" s="1">
        <v>9.3000000000000007</v>
      </c>
      <c r="D40" s="1"/>
      <c r="E40" s="1"/>
      <c r="F40" s="32" t="str">
        <f t="shared" si="3"/>
        <v/>
      </c>
    </row>
    <row r="41" spans="1:6" x14ac:dyDescent="0.2">
      <c r="A41" s="29" t="s">
        <v>37</v>
      </c>
      <c r="B41" s="38" t="str">
        <f>IFERROR(AVERAGE(B34:B40),"")</f>
        <v/>
      </c>
      <c r="C41" s="43"/>
      <c r="D41" s="43"/>
      <c r="E41" s="43"/>
      <c r="F41" s="32" t="str">
        <f>IF(COUNT(B34:B40)=0,"รอข้อมูล",IF(COUNTIF(F34:F40,"ไม่ผ่าน*")=0,"ผ่าน ✓","ไม่ผ่าน ✗"))</f>
        <v>รอข้อมูล</v>
      </c>
    </row>
    <row r="43" spans="1:6" ht="18" customHeight="1" x14ac:dyDescent="0.2">
      <c r="A43" s="13" t="s">
        <v>99</v>
      </c>
      <c r="B43" s="13"/>
      <c r="C43" s="13"/>
      <c r="D43" s="13"/>
      <c r="E43" s="13"/>
      <c r="F43" s="13"/>
    </row>
    <row r="44" spans="1:6" ht="31.5" customHeight="1" x14ac:dyDescent="0.2">
      <c r="A44" s="21" t="s">
        <v>30</v>
      </c>
      <c r="B44" s="21" t="s">
        <v>100</v>
      </c>
      <c r="C44" s="21" t="s">
        <v>101</v>
      </c>
      <c r="D44" s="10"/>
      <c r="E44" s="10"/>
      <c r="F44" s="21" t="s">
        <v>34</v>
      </c>
    </row>
    <row r="45" spans="1:6" x14ac:dyDescent="0.2">
      <c r="A45" s="22" t="s">
        <v>35</v>
      </c>
      <c r="B45" s="23">
        <v>0.3</v>
      </c>
      <c r="C45" s="23">
        <v>499.1</v>
      </c>
      <c r="D45" s="43"/>
      <c r="E45" s="43"/>
      <c r="F45" s="22" t="s">
        <v>102</v>
      </c>
    </row>
    <row r="46" spans="1:6" x14ac:dyDescent="0.2">
      <c r="A46" s="25">
        <v>1</v>
      </c>
      <c r="B46" s="26"/>
      <c r="C46" s="26"/>
      <c r="D46" s="43"/>
      <c r="E46" s="43"/>
      <c r="F46" s="28"/>
    </row>
    <row r="47" spans="1:6" x14ac:dyDescent="0.2">
      <c r="A47" s="25">
        <v>2</v>
      </c>
      <c r="B47" s="26"/>
      <c r="C47" s="26"/>
      <c r="D47" s="43"/>
      <c r="E47" s="43"/>
      <c r="F47" s="28"/>
    </row>
    <row r="48" spans="1:6" x14ac:dyDescent="0.2">
      <c r="A48" s="25">
        <v>3</v>
      </c>
      <c r="B48" s="26"/>
      <c r="C48" s="26"/>
      <c r="D48" s="43"/>
      <c r="E48" s="43"/>
      <c r="F48" s="28"/>
    </row>
    <row r="49" spans="1:6" x14ac:dyDescent="0.2">
      <c r="A49" s="25">
        <v>4</v>
      </c>
      <c r="B49" s="26"/>
      <c r="C49" s="26"/>
      <c r="D49" s="43"/>
      <c r="E49" s="43"/>
      <c r="F49" s="28"/>
    </row>
    <row r="50" spans="1:6" x14ac:dyDescent="0.2">
      <c r="A50" s="25">
        <v>5</v>
      </c>
      <c r="B50" s="26"/>
      <c r="C50" s="26"/>
      <c r="D50" s="43"/>
      <c r="E50" s="43"/>
      <c r="F50" s="28"/>
    </row>
    <row r="51" spans="1:6" x14ac:dyDescent="0.2">
      <c r="A51" s="25">
        <v>6</v>
      </c>
      <c r="B51" s="26"/>
      <c r="C51" s="26"/>
      <c r="D51" s="43"/>
      <c r="E51" s="43"/>
      <c r="F51" s="28"/>
    </row>
    <row r="52" spans="1:6" x14ac:dyDescent="0.2">
      <c r="A52" s="25">
        <v>7</v>
      </c>
      <c r="B52" s="26"/>
      <c r="C52" s="26"/>
      <c r="D52" s="43"/>
      <c r="E52" s="43"/>
      <c r="F52" s="28"/>
    </row>
    <row r="53" spans="1:6" x14ac:dyDescent="0.2">
      <c r="A53" s="25">
        <v>8</v>
      </c>
      <c r="B53" s="26"/>
      <c r="C53" s="26"/>
      <c r="D53" s="43"/>
      <c r="E53" s="43"/>
      <c r="F53" s="28"/>
    </row>
    <row r="54" spans="1:6" x14ac:dyDescent="0.2">
      <c r="A54" s="25">
        <v>9</v>
      </c>
      <c r="B54" s="26"/>
      <c r="C54" s="26"/>
      <c r="D54" s="43"/>
      <c r="E54" s="43"/>
      <c r="F54" s="28"/>
    </row>
    <row r="55" spans="1:6" x14ac:dyDescent="0.2">
      <c r="A55" s="25">
        <v>10</v>
      </c>
      <c r="B55" s="26"/>
      <c r="C55" s="26"/>
      <c r="D55" s="43"/>
      <c r="E55" s="43"/>
      <c r="F55" s="28"/>
    </row>
    <row r="56" spans="1:6" x14ac:dyDescent="0.2">
      <c r="A56" s="25">
        <v>11</v>
      </c>
      <c r="B56" s="26"/>
      <c r="C56" s="26"/>
      <c r="D56" s="43"/>
      <c r="E56" s="43"/>
      <c r="F56" s="28"/>
    </row>
    <row r="57" spans="1:6" x14ac:dyDescent="0.2">
      <c r="A57" s="25">
        <v>12</v>
      </c>
      <c r="B57" s="26"/>
      <c r="C57" s="26"/>
      <c r="D57" s="43"/>
      <c r="E57" s="43"/>
      <c r="F57" s="28"/>
    </row>
    <row r="58" spans="1:6" x14ac:dyDescent="0.2">
      <c r="A58" s="25">
        <v>13</v>
      </c>
      <c r="B58" s="26"/>
      <c r="C58" s="26"/>
      <c r="D58" s="43"/>
      <c r="E58" s="43"/>
      <c r="F58" s="28"/>
    </row>
    <row r="59" spans="1:6" x14ac:dyDescent="0.2">
      <c r="A59" s="25">
        <v>14</v>
      </c>
      <c r="B59" s="26"/>
      <c r="C59" s="26"/>
      <c r="D59" s="43"/>
      <c r="E59" s="43"/>
      <c r="F59" s="28"/>
    </row>
    <row r="60" spans="1:6" x14ac:dyDescent="0.2">
      <c r="A60" s="25">
        <v>15</v>
      </c>
      <c r="B60" s="26"/>
      <c r="C60" s="26"/>
      <c r="D60" s="43"/>
      <c r="E60" s="43"/>
      <c r="F60" s="28"/>
    </row>
    <row r="61" spans="1:6" ht="84" x14ac:dyDescent="0.2">
      <c r="A61" s="29" t="s">
        <v>103</v>
      </c>
      <c r="B61" s="39" t="str">
        <f>IFERROR(STDEV(B46:B60),"")</f>
        <v/>
      </c>
      <c r="C61" s="39" t="str">
        <f>IFERROR(STDEV(C46:C60),"")</f>
        <v/>
      </c>
    </row>
    <row r="63" spans="1:6" ht="18" customHeight="1" x14ac:dyDescent="0.2">
      <c r="A63" s="13" t="s">
        <v>104</v>
      </c>
      <c r="B63" s="13"/>
      <c r="C63" s="13"/>
      <c r="D63" s="13"/>
      <c r="E63" s="13"/>
      <c r="F63" s="13"/>
    </row>
    <row r="64" spans="1:6" ht="31.5" customHeight="1" x14ac:dyDescent="0.2">
      <c r="A64" s="21" t="s">
        <v>30</v>
      </c>
      <c r="B64" s="21" t="s">
        <v>105</v>
      </c>
      <c r="C64" s="10" t="s">
        <v>106</v>
      </c>
      <c r="D64" s="10"/>
      <c r="E64" s="10"/>
      <c r="F64" s="21" t="s">
        <v>107</v>
      </c>
    </row>
    <row r="65" spans="1:6" ht="15" customHeight="1" x14ac:dyDescent="0.2">
      <c r="A65" s="22" t="s">
        <v>35</v>
      </c>
      <c r="B65" s="24">
        <v>10</v>
      </c>
      <c r="C65" s="9" t="s">
        <v>108</v>
      </c>
      <c r="D65" s="9"/>
      <c r="E65" s="9"/>
      <c r="F65" s="22" t="str">
        <f t="shared" ref="F65:F70" si="4">IF(C65="","",IF(C65="N","ผ่าน ✓","ไม่ผ่าน ✗"))</f>
        <v>ผ่าน ✓</v>
      </c>
    </row>
    <row r="66" spans="1:6" x14ac:dyDescent="0.2">
      <c r="A66" s="25">
        <v>1</v>
      </c>
      <c r="B66" s="27"/>
      <c r="C66" s="44"/>
      <c r="D66" s="44"/>
      <c r="E66" s="44"/>
      <c r="F66" s="32" t="str">
        <f t="shared" si="4"/>
        <v/>
      </c>
    </row>
    <row r="67" spans="1:6" x14ac:dyDescent="0.2">
      <c r="A67" s="25">
        <v>2</v>
      </c>
      <c r="B67" s="27"/>
      <c r="C67" s="44"/>
      <c r="D67" s="44"/>
      <c r="E67" s="44"/>
      <c r="F67" s="32" t="str">
        <f t="shared" si="4"/>
        <v/>
      </c>
    </row>
    <row r="68" spans="1:6" x14ac:dyDescent="0.2">
      <c r="A68" s="25">
        <v>3</v>
      </c>
      <c r="B68" s="27"/>
      <c r="C68" s="44"/>
      <c r="D68" s="44"/>
      <c r="E68" s="44"/>
      <c r="F68" s="32" t="str">
        <f t="shared" si="4"/>
        <v/>
      </c>
    </row>
    <row r="69" spans="1:6" x14ac:dyDescent="0.2">
      <c r="A69" s="25">
        <v>4</v>
      </c>
      <c r="B69" s="27"/>
      <c r="C69" s="44"/>
      <c r="D69" s="44"/>
      <c r="E69" s="44"/>
      <c r="F69" s="32" t="str">
        <f t="shared" si="4"/>
        <v/>
      </c>
    </row>
    <row r="70" spans="1:6" x14ac:dyDescent="0.2">
      <c r="A70" s="25">
        <v>5</v>
      </c>
      <c r="B70" s="27"/>
      <c r="C70" s="44"/>
      <c r="D70" s="44"/>
      <c r="E70" s="44"/>
      <c r="F70" s="32" t="str">
        <f t="shared" si="4"/>
        <v/>
      </c>
    </row>
    <row r="71" spans="1:6" ht="15" customHeight="1" x14ac:dyDescent="0.2">
      <c r="A71" s="11" t="s">
        <v>66</v>
      </c>
      <c r="B71" s="11"/>
      <c r="C71" s="11"/>
      <c r="D71" s="11"/>
      <c r="E71" s="11"/>
      <c r="F71" s="32" t="str">
        <f>IF(COUNTA(C66:C70)=0,"รอข้อมูล",IF(COUNTIF(C66:C70,"Y")=0,"ผ่าน ✓","ไม่ผ่าน ✗"))</f>
        <v>รอข้อมูล</v>
      </c>
    </row>
    <row r="73" spans="1:6" ht="18" customHeight="1" x14ac:dyDescent="0.2">
      <c r="A73" s="13" t="s">
        <v>109</v>
      </c>
      <c r="B73" s="13"/>
      <c r="C73" s="13"/>
      <c r="D73" s="13"/>
      <c r="E73" s="13"/>
      <c r="F73" s="13"/>
    </row>
    <row r="74" spans="1:6" ht="31.5" customHeight="1" x14ac:dyDescent="0.2">
      <c r="A74" s="21" t="s">
        <v>30</v>
      </c>
      <c r="B74" s="10" t="s">
        <v>110</v>
      </c>
      <c r="C74" s="10"/>
      <c r="D74" s="10"/>
      <c r="E74" s="10"/>
      <c r="F74" s="21" t="s">
        <v>55</v>
      </c>
    </row>
    <row r="75" spans="1:6" x14ac:dyDescent="0.2">
      <c r="A75" s="22" t="s">
        <v>35</v>
      </c>
      <c r="B75" s="45">
        <v>1.6</v>
      </c>
      <c r="C75" s="45"/>
      <c r="D75" s="45"/>
      <c r="E75" s="45"/>
      <c r="F75" s="22" t="str">
        <f t="shared" ref="F75:F82" si="5">IF(B75="","",IF(B75&lt;=2,"ผ่าน ✓","ไม่ผ่าน ✗"))</f>
        <v>ผ่าน ✓</v>
      </c>
    </row>
    <row r="76" spans="1:6" x14ac:dyDescent="0.2">
      <c r="A76" s="25">
        <v>1</v>
      </c>
      <c r="B76" s="46"/>
      <c r="C76" s="46"/>
      <c r="D76" s="46"/>
      <c r="E76" s="46"/>
      <c r="F76" s="32" t="str">
        <f t="shared" si="5"/>
        <v/>
      </c>
    </row>
    <row r="77" spans="1:6" x14ac:dyDescent="0.2">
      <c r="A77" s="25">
        <v>2</v>
      </c>
      <c r="B77" s="46"/>
      <c r="C77" s="46"/>
      <c r="D77" s="46"/>
      <c r="E77" s="46"/>
      <c r="F77" s="32" t="str">
        <f t="shared" si="5"/>
        <v/>
      </c>
    </row>
    <row r="78" spans="1:6" x14ac:dyDescent="0.2">
      <c r="A78" s="25">
        <v>3</v>
      </c>
      <c r="B78" s="46"/>
      <c r="C78" s="46"/>
      <c r="D78" s="46"/>
      <c r="E78" s="46"/>
      <c r="F78" s="32" t="str">
        <f t="shared" si="5"/>
        <v/>
      </c>
    </row>
    <row r="79" spans="1:6" x14ac:dyDescent="0.2">
      <c r="A79" s="25">
        <v>4</v>
      </c>
      <c r="B79" s="46"/>
      <c r="C79" s="46"/>
      <c r="D79" s="46"/>
      <c r="E79" s="46"/>
      <c r="F79" s="32" t="str">
        <f t="shared" si="5"/>
        <v/>
      </c>
    </row>
    <row r="80" spans="1:6" x14ac:dyDescent="0.2">
      <c r="A80" s="25">
        <v>5</v>
      </c>
      <c r="B80" s="46"/>
      <c r="C80" s="46"/>
      <c r="D80" s="46"/>
      <c r="E80" s="46"/>
      <c r="F80" s="32" t="str">
        <f t="shared" si="5"/>
        <v/>
      </c>
    </row>
    <row r="81" spans="1:6" x14ac:dyDescent="0.2">
      <c r="A81" s="25">
        <v>6</v>
      </c>
      <c r="B81" s="46"/>
      <c r="C81" s="46"/>
      <c r="D81" s="46"/>
      <c r="E81" s="46"/>
      <c r="F81" s="32" t="str">
        <f t="shared" si="5"/>
        <v/>
      </c>
    </row>
    <row r="82" spans="1:6" x14ac:dyDescent="0.2">
      <c r="A82" s="25">
        <v>7</v>
      </c>
      <c r="B82" s="46"/>
      <c r="C82" s="46"/>
      <c r="D82" s="46"/>
      <c r="E82" s="46"/>
      <c r="F82" s="32" t="str">
        <f t="shared" si="5"/>
        <v/>
      </c>
    </row>
    <row r="83" spans="1:6" ht="28" x14ac:dyDescent="0.2">
      <c r="A83" s="29" t="s">
        <v>47</v>
      </c>
      <c r="B83" s="30" t="str">
        <f>IFERROR(AVERAGE(B76:B82),"")</f>
        <v/>
      </c>
      <c r="C83" s="43"/>
      <c r="D83" s="43"/>
      <c r="E83" s="43"/>
      <c r="F83" s="32" t="str">
        <f>IF(COUNT(B76:B82)=0,"รอข้อมูล",IF(B83&lt;=2,"ผ่าน ✓","ไม่ผ่าน ✗"))</f>
        <v>รอข้อมูล</v>
      </c>
    </row>
  </sheetData>
  <mergeCells count="65">
    <mergeCell ref="B79:E79"/>
    <mergeCell ref="B80:E80"/>
    <mergeCell ref="B81:E81"/>
    <mergeCell ref="B82:E82"/>
    <mergeCell ref="C83:E83"/>
    <mergeCell ref="B74:E74"/>
    <mergeCell ref="B75:E75"/>
    <mergeCell ref="B76:E76"/>
    <mergeCell ref="B77:E77"/>
    <mergeCell ref="B78:E78"/>
    <mergeCell ref="C68:E68"/>
    <mergeCell ref="C69:E69"/>
    <mergeCell ref="C70:E70"/>
    <mergeCell ref="A71:E71"/>
    <mergeCell ref="A73:F73"/>
    <mergeCell ref="A63:F63"/>
    <mergeCell ref="C64:E64"/>
    <mergeCell ref="C65:E65"/>
    <mergeCell ref="C66:E66"/>
    <mergeCell ref="C67:E67"/>
    <mergeCell ref="D56:E56"/>
    <mergeCell ref="D57:E57"/>
    <mergeCell ref="D58:E58"/>
    <mergeCell ref="D59:E59"/>
    <mergeCell ref="D60:E60"/>
    <mergeCell ref="D51:E51"/>
    <mergeCell ref="D52:E52"/>
    <mergeCell ref="D53:E53"/>
    <mergeCell ref="D54:E54"/>
    <mergeCell ref="D55:E55"/>
    <mergeCell ref="D46:E46"/>
    <mergeCell ref="D47:E47"/>
    <mergeCell ref="D48:E48"/>
    <mergeCell ref="D49:E49"/>
    <mergeCell ref="D50:E50"/>
    <mergeCell ref="C40:E40"/>
    <mergeCell ref="C41:E41"/>
    <mergeCell ref="A43:F43"/>
    <mergeCell ref="D44:E44"/>
    <mergeCell ref="D45:E45"/>
    <mergeCell ref="C35:E35"/>
    <mergeCell ref="C36:E36"/>
    <mergeCell ref="C37:E37"/>
    <mergeCell ref="C38:E38"/>
    <mergeCell ref="C39:E39"/>
    <mergeCell ref="A29:C29"/>
    <mergeCell ref="A31:F31"/>
    <mergeCell ref="C32:E32"/>
    <mergeCell ref="C33:E33"/>
    <mergeCell ref="C34:E34"/>
    <mergeCell ref="C24:E24"/>
    <mergeCell ref="C25:E25"/>
    <mergeCell ref="C26:E26"/>
    <mergeCell ref="C27:E27"/>
    <mergeCell ref="C28:E28"/>
    <mergeCell ref="A19:F19"/>
    <mergeCell ref="C20:E20"/>
    <mergeCell ref="C21:E21"/>
    <mergeCell ref="C22:E22"/>
    <mergeCell ref="C23:E23"/>
    <mergeCell ref="A1:F1"/>
    <mergeCell ref="A3:F3"/>
    <mergeCell ref="D4:E4"/>
    <mergeCell ref="A7:F7"/>
    <mergeCell ref="A17:D17"/>
  </mergeCells>
  <conditionalFormatting sqref="F10:F17">
    <cfRule type="expression" dxfId="20" priority="2">
      <formula>LEFT(F10,2)="ผ่า"</formula>
    </cfRule>
    <cfRule type="expression" dxfId="19" priority="3">
      <formula>LEFT(F10,2)="ไม่"</formula>
    </cfRule>
    <cfRule type="expression" dxfId="18" priority="4">
      <formula>LEFT(F10,2)="รอ"</formula>
    </cfRule>
  </conditionalFormatting>
  <conditionalFormatting sqref="F22:F29">
    <cfRule type="expression" dxfId="17" priority="8">
      <formula>LEFT(F22,2)="ผ่า"</formula>
    </cfRule>
    <cfRule type="expression" dxfId="16" priority="9">
      <formula>LEFT(F22,2)="ไม่"</formula>
    </cfRule>
    <cfRule type="expression" dxfId="15" priority="10">
      <formula>LEFT(F22,2)="รอ"</formula>
    </cfRule>
  </conditionalFormatting>
  <conditionalFormatting sqref="F34:F41">
    <cfRule type="expression" dxfId="14" priority="14">
      <formula>LEFT(F34,2)="ผ่า"</formula>
    </cfRule>
    <cfRule type="expression" dxfId="13" priority="15">
      <formula>LEFT(F34,2)="ไม่"</formula>
    </cfRule>
    <cfRule type="expression" dxfId="12" priority="16">
      <formula>LEFT(F34,2)="รอ"</formula>
    </cfRule>
  </conditionalFormatting>
  <conditionalFormatting sqref="F66:F71">
    <cfRule type="expression" dxfId="11" priority="22">
      <formula>LEFT(F66,2)="รอ"</formula>
    </cfRule>
    <cfRule type="expression" dxfId="10" priority="21">
      <formula>LEFT(F66,2)="ไม่"</formula>
    </cfRule>
    <cfRule type="expression" dxfId="9" priority="20">
      <formula>LEFT(F66,2)="ผ่า"</formula>
    </cfRule>
  </conditionalFormatting>
  <conditionalFormatting sqref="F76:F83">
    <cfRule type="expression" dxfId="8" priority="28">
      <formula>LEFT(F76,2)="รอ"</formula>
    </cfRule>
    <cfRule type="expression" dxfId="7" priority="27">
      <formula>LEFT(F76,2)="ไม่"</formula>
    </cfRule>
    <cfRule type="expression" dxfId="6" priority="26">
      <formula>LEFT(F76,2)="ผ่า"</formula>
    </cfRule>
  </conditionalFormatting>
  <dataValidations count="1">
    <dataValidation type="list" allowBlank="1" sqref="C66:C70" xr:uid="{00000000-0002-0000-04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4" width="14" customWidth="1"/>
    <col min="5" max="5" width="30" customWidth="1"/>
  </cols>
  <sheetData>
    <row r="1" spans="1:5" ht="25.5" customHeight="1" x14ac:dyDescent="0.2">
      <c r="A1" s="14" t="s">
        <v>111</v>
      </c>
      <c r="B1" s="14"/>
      <c r="C1" s="14"/>
      <c r="D1" s="14"/>
      <c r="E1" s="14"/>
    </row>
    <row r="3" spans="1:5" ht="18" customHeight="1" x14ac:dyDescent="0.2">
      <c r="A3" s="13" t="s">
        <v>24</v>
      </c>
      <c r="B3" s="13"/>
      <c r="C3" s="13"/>
      <c r="D3" s="13"/>
      <c r="E3" s="13"/>
    </row>
    <row r="4" spans="1:5" x14ac:dyDescent="0.2">
      <c r="A4" s="19" t="s">
        <v>25</v>
      </c>
      <c r="B4" s="20"/>
      <c r="C4" s="19" t="s">
        <v>26</v>
      </c>
      <c r="D4" s="20"/>
    </row>
    <row r="6" spans="1:5" ht="18" customHeight="1" x14ac:dyDescent="0.2">
      <c r="A6" s="13" t="s">
        <v>112</v>
      </c>
      <c r="B6" s="13"/>
      <c r="C6" s="13"/>
      <c r="D6" s="13"/>
      <c r="E6" s="13"/>
    </row>
    <row r="7" spans="1:5" ht="31.5" customHeight="1" x14ac:dyDescent="0.2">
      <c r="A7" s="21" t="s">
        <v>113</v>
      </c>
      <c r="B7" s="21" t="s">
        <v>114</v>
      </c>
      <c r="C7" s="21" t="s">
        <v>115</v>
      </c>
      <c r="D7" s="21" t="s">
        <v>116</v>
      </c>
      <c r="E7" s="21" t="s">
        <v>34</v>
      </c>
    </row>
    <row r="8" spans="1:5" x14ac:dyDescent="0.2">
      <c r="A8" s="29" t="s">
        <v>117</v>
      </c>
      <c r="B8" s="26"/>
      <c r="C8" s="35">
        <v>14.8</v>
      </c>
      <c r="D8" s="38" t="str">
        <f>IF(B8="","",IFERROR(B8*C8,""))</f>
        <v/>
      </c>
      <c r="E8" s="28"/>
    </row>
    <row r="9" spans="1:5" x14ac:dyDescent="0.2">
      <c r="A9" s="29" t="s">
        <v>118</v>
      </c>
      <c r="B9" s="26"/>
      <c r="C9" s="35">
        <v>14.8</v>
      </c>
      <c r="D9" s="38" t="str">
        <f>IF(B9="","",IFERROR(B9*C9,""))</f>
        <v/>
      </c>
      <c r="E9" s="28"/>
    </row>
    <row r="10" spans="1:5" ht="28" x14ac:dyDescent="0.2">
      <c r="A10" s="29" t="s">
        <v>119</v>
      </c>
      <c r="B10" s="26"/>
      <c r="C10" s="35">
        <v>14.8</v>
      </c>
      <c r="D10" s="38" t="str">
        <f>IF(B10="","",IFERROR(B10*C10,""))</f>
        <v/>
      </c>
      <c r="E10" s="28"/>
    </row>
    <row r="11" spans="1:5" x14ac:dyDescent="0.2">
      <c r="A11" s="29" t="s">
        <v>120</v>
      </c>
      <c r="B11" s="26"/>
      <c r="C11" s="35">
        <v>14.8</v>
      </c>
      <c r="D11" s="38" t="str">
        <f>IF(B11="","",IFERROR(B11*C11,""))</f>
        <v/>
      </c>
      <c r="E11" s="28"/>
    </row>
    <row r="12" spans="1:5" x14ac:dyDescent="0.2">
      <c r="A12" s="29" t="s">
        <v>121</v>
      </c>
      <c r="B12" s="26"/>
      <c r="C12" s="35">
        <v>14.8</v>
      </c>
      <c r="D12" s="38" t="str">
        <f>IF(B12="","",IFERROR(B12*C12,""))</f>
        <v/>
      </c>
      <c r="E12" s="28"/>
    </row>
    <row r="14" spans="1:5" ht="18" customHeight="1" x14ac:dyDescent="0.2">
      <c r="A14" s="13" t="s">
        <v>122</v>
      </c>
      <c r="B14" s="13"/>
      <c r="C14" s="13"/>
      <c r="D14" s="13"/>
      <c r="E14" s="13"/>
    </row>
    <row r="15" spans="1:5" x14ac:dyDescent="0.2">
      <c r="A15" s="19" t="s">
        <v>123</v>
      </c>
      <c r="B15" s="20"/>
    </row>
    <row r="16" spans="1:5" x14ac:dyDescent="0.2">
      <c r="A16" s="19" t="s">
        <v>124</v>
      </c>
      <c r="B16" s="20">
        <v>14.8</v>
      </c>
    </row>
    <row r="17" spans="1:5" x14ac:dyDescent="0.2">
      <c r="A17" s="29" t="s">
        <v>125</v>
      </c>
      <c r="B17" s="30" t="str">
        <f>IF(B15="","",IFERROR(B15/1000*B16,""))</f>
        <v/>
      </c>
    </row>
    <row r="18" spans="1:5" ht="28" x14ac:dyDescent="0.2">
      <c r="A18" s="29" t="s">
        <v>126</v>
      </c>
      <c r="B18" s="30" t="str">
        <f>IFERROR(B17/D12,"")</f>
        <v/>
      </c>
    </row>
    <row r="20" spans="1:5" ht="18" customHeight="1" x14ac:dyDescent="0.2">
      <c r="A20" s="13" t="s">
        <v>127</v>
      </c>
      <c r="B20" s="13"/>
      <c r="C20" s="13"/>
      <c r="D20" s="13"/>
      <c r="E20" s="13"/>
    </row>
    <row r="21" spans="1:5" ht="31.5" customHeight="1" x14ac:dyDescent="0.2">
      <c r="A21" s="21" t="s">
        <v>128</v>
      </c>
      <c r="B21" s="21" t="s">
        <v>129</v>
      </c>
      <c r="C21" s="10" t="s">
        <v>130</v>
      </c>
      <c r="D21" s="10"/>
      <c r="E21" s="21" t="s">
        <v>34</v>
      </c>
    </row>
    <row r="22" spans="1:5" ht="56" x14ac:dyDescent="0.2">
      <c r="A22" s="25">
        <v>1</v>
      </c>
      <c r="B22" s="40" t="s">
        <v>131</v>
      </c>
      <c r="C22" s="44"/>
      <c r="D22" s="44"/>
      <c r="E22" s="28"/>
    </row>
    <row r="23" spans="1:5" ht="42" x14ac:dyDescent="0.2">
      <c r="A23" s="25">
        <v>2</v>
      </c>
      <c r="B23" s="40" t="s">
        <v>132</v>
      </c>
      <c r="C23" s="44"/>
      <c r="D23" s="44"/>
      <c r="E23" s="28"/>
    </row>
    <row r="24" spans="1:5" ht="56" x14ac:dyDescent="0.2">
      <c r="A24" s="25">
        <v>3</v>
      </c>
      <c r="B24" s="40" t="s">
        <v>133</v>
      </c>
      <c r="C24" s="44"/>
      <c r="D24" s="44"/>
      <c r="E24" s="28"/>
    </row>
    <row r="25" spans="1:5" ht="42" x14ac:dyDescent="0.2">
      <c r="A25" s="25">
        <v>4</v>
      </c>
      <c r="B25" s="40" t="s">
        <v>134</v>
      </c>
      <c r="C25" s="44"/>
      <c r="D25" s="44"/>
      <c r="E25" s="28"/>
    </row>
    <row r="26" spans="1:5" ht="42" x14ac:dyDescent="0.2">
      <c r="A26" s="25">
        <v>5</v>
      </c>
      <c r="B26" s="40" t="s">
        <v>135</v>
      </c>
      <c r="C26" s="44"/>
      <c r="D26" s="44"/>
      <c r="E26" s="28"/>
    </row>
    <row r="27" spans="1:5" ht="56" x14ac:dyDescent="0.2">
      <c r="A27" s="25">
        <v>6</v>
      </c>
      <c r="B27" s="40" t="s">
        <v>136</v>
      </c>
      <c r="C27" s="44"/>
      <c r="D27" s="44"/>
      <c r="E27" s="28"/>
    </row>
    <row r="28" spans="1:5" x14ac:dyDescent="0.2">
      <c r="A28" s="29" t="s">
        <v>66</v>
      </c>
      <c r="B28" s="29"/>
      <c r="C28" s="47" t="str">
        <f>IF(COUNTA(C22:C27)=0,"รอข้อมูล",IF(COUNTIF(C22:C27,"N")=0,"ผ่าน ✓","ไม่ผ่าน ✗"))</f>
        <v>รอข้อมูล</v>
      </c>
      <c r="D28" s="47"/>
    </row>
    <row r="30" spans="1:5" ht="18" customHeight="1" x14ac:dyDescent="0.2">
      <c r="A30" s="13" t="s">
        <v>137</v>
      </c>
      <c r="B30" s="13"/>
      <c r="C30" s="13"/>
      <c r="D30" s="13"/>
      <c r="E30" s="13"/>
    </row>
    <row r="31" spans="1:5" ht="31.5" customHeight="1" x14ac:dyDescent="0.2">
      <c r="A31" s="21" t="s">
        <v>138</v>
      </c>
      <c r="B31" s="21" t="s">
        <v>139</v>
      </c>
      <c r="C31" s="21" t="s">
        <v>140</v>
      </c>
      <c r="D31" s="21" t="s">
        <v>141</v>
      </c>
      <c r="E31" s="21" t="s">
        <v>142</v>
      </c>
    </row>
    <row r="32" spans="1:5" x14ac:dyDescent="0.2">
      <c r="A32" s="28"/>
      <c r="B32" s="41"/>
      <c r="C32" s="41"/>
      <c r="D32" s="38">
        <f>IFERROR((C32-B32)*24*60,"")</f>
        <v>0</v>
      </c>
      <c r="E32" s="28"/>
    </row>
    <row r="33" spans="1:5" x14ac:dyDescent="0.2">
      <c r="A33" s="28"/>
      <c r="B33" s="41"/>
      <c r="C33" s="41"/>
      <c r="D33" s="38">
        <f>IFERROR((C33-B33)*24*60,"")</f>
        <v>0</v>
      </c>
      <c r="E33" s="28"/>
    </row>
    <row r="34" spans="1:5" x14ac:dyDescent="0.2">
      <c r="A34" s="28"/>
      <c r="B34" s="41"/>
      <c r="C34" s="41"/>
      <c r="D34" s="38">
        <f>IFERROR((C34-B34)*24*60,"")</f>
        <v>0</v>
      </c>
      <c r="E34" s="28"/>
    </row>
    <row r="35" spans="1:5" ht="15" customHeight="1" x14ac:dyDescent="0.2">
      <c r="A35" s="11" t="s">
        <v>143</v>
      </c>
      <c r="B35" s="11"/>
      <c r="C35" s="11"/>
      <c r="D35" s="38">
        <f>IFERROR(AVERAGE(D32:D34),"")</f>
        <v>0</v>
      </c>
    </row>
    <row r="37" spans="1:5" ht="18" customHeight="1" x14ac:dyDescent="0.2">
      <c r="A37" s="13" t="s">
        <v>144</v>
      </c>
      <c r="B37" s="13"/>
      <c r="C37" s="13"/>
      <c r="D37" s="13"/>
      <c r="E37" s="13"/>
    </row>
    <row r="38" spans="1:5" ht="31.5" customHeight="1" x14ac:dyDescent="0.2">
      <c r="A38" s="21" t="s">
        <v>145</v>
      </c>
      <c r="B38" s="10" t="s">
        <v>130</v>
      </c>
      <c r="C38" s="10"/>
      <c r="D38" s="10"/>
      <c r="E38" s="21" t="s">
        <v>34</v>
      </c>
    </row>
    <row r="39" spans="1:5" ht="28" x14ac:dyDescent="0.2">
      <c r="A39" s="40" t="s">
        <v>146</v>
      </c>
      <c r="B39" s="44"/>
      <c r="C39" s="44"/>
      <c r="D39" s="44"/>
      <c r="E39" s="28"/>
    </row>
    <row r="40" spans="1:5" ht="28" x14ac:dyDescent="0.2">
      <c r="A40" s="40" t="s">
        <v>147</v>
      </c>
      <c r="B40" s="44"/>
      <c r="C40" s="44"/>
      <c r="D40" s="44"/>
      <c r="E40" s="28"/>
    </row>
  </sheetData>
  <mergeCells count="19">
    <mergeCell ref="A37:E37"/>
    <mergeCell ref="B38:D38"/>
    <mergeCell ref="B39:D39"/>
    <mergeCell ref="B40:D40"/>
    <mergeCell ref="C26:D26"/>
    <mergeCell ref="C27:D27"/>
    <mergeCell ref="C28:D28"/>
    <mergeCell ref="A30:E30"/>
    <mergeCell ref="A35:C35"/>
    <mergeCell ref="C21:D21"/>
    <mergeCell ref="C22:D22"/>
    <mergeCell ref="C23:D23"/>
    <mergeCell ref="C24:D24"/>
    <mergeCell ref="C25:D25"/>
    <mergeCell ref="A1:E1"/>
    <mergeCell ref="A3:E3"/>
    <mergeCell ref="A6:E6"/>
    <mergeCell ref="A14:E14"/>
    <mergeCell ref="A20:E20"/>
  </mergeCells>
  <conditionalFormatting sqref="C28">
    <cfRule type="expression" dxfId="5" priority="2">
      <formula>LEFT(C28,2)="ผ่า"</formula>
    </cfRule>
    <cfRule type="expression" dxfId="4" priority="3">
      <formula>LEFT(C28,2)="ไม่"</formula>
    </cfRule>
    <cfRule type="expression" dxfId="3" priority="4">
      <formula>LEFT(C28,2)="รอ"</formula>
    </cfRule>
  </conditionalFormatting>
  <dataValidations count="1">
    <dataValidation type="list" allowBlank="1" sqref="B39:B40 C22:C27" xr:uid="{00000000-0002-0000-05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showGridLines="0" zoomScaleNormal="100" workbookViewId="0"/>
  </sheetViews>
  <sheetFormatPr baseColWidth="10" defaultColWidth="8.6640625" defaultRowHeight="15" x14ac:dyDescent="0.2"/>
  <cols>
    <col min="1" max="1" width="26" customWidth="1"/>
    <col min="2" max="2" width="24" customWidth="1"/>
    <col min="3" max="3" width="26" customWidth="1"/>
    <col min="4" max="4" width="16" customWidth="1"/>
    <col min="5" max="5" width="30" customWidth="1"/>
  </cols>
  <sheetData>
    <row r="1" spans="1:5" ht="25.5" customHeight="1" x14ac:dyDescent="0.2">
      <c r="A1" s="14" t="s">
        <v>148</v>
      </c>
      <c r="B1" s="14"/>
      <c r="C1" s="14"/>
      <c r="D1" s="14"/>
      <c r="E1" s="14"/>
    </row>
    <row r="2" spans="1:5" x14ac:dyDescent="0.2">
      <c r="A2" s="42" t="s">
        <v>149</v>
      </c>
    </row>
    <row r="4" spans="1:5" ht="18" customHeight="1" x14ac:dyDescent="0.2">
      <c r="A4" s="13" t="s">
        <v>150</v>
      </c>
      <c r="B4" s="13"/>
      <c r="C4" s="13"/>
      <c r="D4" s="13"/>
      <c r="E4" s="13"/>
    </row>
    <row r="5" spans="1:5" ht="31.5" customHeight="1" x14ac:dyDescent="0.2">
      <c r="A5" s="21" t="s">
        <v>151</v>
      </c>
      <c r="B5" s="21" t="s">
        <v>152</v>
      </c>
      <c r="C5" s="21" t="s">
        <v>153</v>
      </c>
      <c r="D5" s="21" t="s">
        <v>154</v>
      </c>
      <c r="E5" s="21" t="s">
        <v>34</v>
      </c>
    </row>
    <row r="6" spans="1:5" x14ac:dyDescent="0.2">
      <c r="A6" s="29" t="s">
        <v>155</v>
      </c>
      <c r="B6" s="32" t="s">
        <v>156</v>
      </c>
      <c r="C6" s="36" t="str">
        <f>'1.1 มอเตอร์ดูด'!F29</f>
        <v/>
      </c>
      <c r="D6" s="32" t="str">
        <f>'1.1 มอเตอร์ดูด'!G29</f>
        <v>รอข้อมูล</v>
      </c>
      <c r="E6" s="32"/>
    </row>
    <row r="7" spans="1:5" x14ac:dyDescent="0.2">
      <c r="A7" s="29" t="s">
        <v>157</v>
      </c>
      <c r="B7" s="32" t="s">
        <v>158</v>
      </c>
      <c r="C7" s="36" t="str">
        <f>'1.2 การขับเคลื่อน'!F16</f>
        <v/>
      </c>
      <c r="D7" s="32" t="str">
        <f>'1.2 การขับเคลื่อน'!G16</f>
        <v>รอข้อมูล</v>
      </c>
      <c r="E7" s="32"/>
    </row>
    <row r="8" spans="1:5" ht="28" x14ac:dyDescent="0.2">
      <c r="A8" s="29" t="s">
        <v>159</v>
      </c>
      <c r="B8" s="32" t="s">
        <v>62</v>
      </c>
      <c r="C8" s="31">
        <f>'1.2 การขับเคลื่อน'!C28</f>
        <v>0</v>
      </c>
      <c r="D8" s="32" t="str">
        <f>"ข้อมูลอ้างอิง"</f>
        <v>ข้อมูลอ้างอิง</v>
      </c>
      <c r="E8" s="32" t="s">
        <v>160</v>
      </c>
    </row>
    <row r="9" spans="1:5" x14ac:dyDescent="0.2">
      <c r="A9" s="29" t="s">
        <v>161</v>
      </c>
      <c r="B9" s="32" t="s">
        <v>162</v>
      </c>
      <c r="C9" s="32" t="str">
        <f>"-"</f>
        <v>-</v>
      </c>
      <c r="D9" s="32" t="str">
        <f>'1.2 การขับเคลื่อน'!G40</f>
        <v>รอข้อมูล</v>
      </c>
      <c r="E9" s="32"/>
    </row>
    <row r="10" spans="1:5" ht="28" x14ac:dyDescent="0.2">
      <c r="A10" s="29" t="s">
        <v>163</v>
      </c>
      <c r="B10" s="32" t="s">
        <v>164</v>
      </c>
      <c r="C10" s="32" t="str">
        <f>"-"</f>
        <v>-</v>
      </c>
      <c r="D10" s="32" t="str">
        <f>'1.2 การขับเคลื่อน'!D52</f>
        <v>รอข้อมูล</v>
      </c>
      <c r="E10" s="32"/>
    </row>
    <row r="11" spans="1:5" ht="28" x14ac:dyDescent="0.2">
      <c r="A11" s="29" t="s">
        <v>15</v>
      </c>
      <c r="B11" s="32" t="s">
        <v>165</v>
      </c>
      <c r="C11" s="36" t="str">
        <f>'1.3 การปัดกวาด'!G19</f>
        <v/>
      </c>
      <c r="D11" s="32" t="str">
        <f>'1.3 การปัดกวาด'!H19</f>
        <v>รอข้อมูล</v>
      </c>
      <c r="E11" s="32"/>
    </row>
    <row r="12" spans="1:5" x14ac:dyDescent="0.2">
      <c r="A12" s="29" t="s">
        <v>166</v>
      </c>
      <c r="B12" s="32" t="s">
        <v>167</v>
      </c>
      <c r="C12" s="32" t="str">
        <f>"-"</f>
        <v>-</v>
      </c>
      <c r="D12" s="32" t="str">
        <f>'1.4 Scissor Lift'!F17</f>
        <v>รอข้อมูล</v>
      </c>
      <c r="E12" s="32"/>
    </row>
    <row r="13" spans="1:5" x14ac:dyDescent="0.2">
      <c r="A13" s="29" t="s">
        <v>168</v>
      </c>
      <c r="B13" s="32" t="s">
        <v>169</v>
      </c>
      <c r="C13" s="32" t="str">
        <f>"-"</f>
        <v>-</v>
      </c>
      <c r="D13" s="32" t="str">
        <f>'1.4 Scissor Lift'!F29</f>
        <v>รอข้อมูล</v>
      </c>
      <c r="E13" s="32"/>
    </row>
    <row r="14" spans="1:5" ht="28" x14ac:dyDescent="0.2">
      <c r="A14" s="29" t="s">
        <v>170</v>
      </c>
      <c r="B14" s="32" t="s">
        <v>171</v>
      </c>
      <c r="C14" s="38" t="str">
        <f>'1.4 Scissor Lift'!B41</f>
        <v/>
      </c>
      <c r="D14" s="32" t="str">
        <f>'1.4 Scissor Lift'!F41</f>
        <v>รอข้อมูล</v>
      </c>
      <c r="E14" s="32" t="s">
        <v>172</v>
      </c>
    </row>
    <row r="15" spans="1:5" ht="28" x14ac:dyDescent="0.2">
      <c r="A15" s="29" t="s">
        <v>173</v>
      </c>
      <c r="B15" s="32" t="s">
        <v>174</v>
      </c>
      <c r="C15" s="39" t="str">
        <f>'1.4 Scissor Lift'!B61</f>
        <v/>
      </c>
      <c r="D15" s="32" t="str">
        <f>"ข้อมูลอ้างอิง"</f>
        <v>ข้อมูลอ้างอิง</v>
      </c>
      <c r="E15" s="32" t="s">
        <v>175</v>
      </c>
    </row>
    <row r="16" spans="1:5" ht="28" x14ac:dyDescent="0.2">
      <c r="A16" s="29" t="s">
        <v>176</v>
      </c>
      <c r="B16" s="32" t="s">
        <v>177</v>
      </c>
      <c r="C16" s="32" t="str">
        <f>"-"</f>
        <v>-</v>
      </c>
      <c r="D16" s="32" t="str">
        <f>'1.4 Scissor Lift'!F71</f>
        <v>รอข้อมูล</v>
      </c>
      <c r="E16" s="32"/>
    </row>
    <row r="17" spans="1:5" ht="28" x14ac:dyDescent="0.2">
      <c r="A17" s="29" t="s">
        <v>178</v>
      </c>
      <c r="B17" s="32" t="s">
        <v>179</v>
      </c>
      <c r="C17" s="32" t="str">
        <f>"-"</f>
        <v>-</v>
      </c>
      <c r="D17" s="32" t="str">
        <f>'1.4 Scissor Lift'!F83</f>
        <v>รอข้อมูล</v>
      </c>
      <c r="E17" s="32"/>
    </row>
    <row r="19" spans="1:5" ht="18" customHeight="1" x14ac:dyDescent="0.2">
      <c r="A19" s="13" t="s">
        <v>180</v>
      </c>
      <c r="B19" s="13"/>
      <c r="C19" s="13"/>
      <c r="D19" s="13"/>
      <c r="E19" s="13"/>
    </row>
    <row r="20" spans="1:5" ht="31.5" customHeight="1" x14ac:dyDescent="0.2">
      <c r="A20" s="21" t="s">
        <v>151</v>
      </c>
      <c r="B20" s="21" t="s">
        <v>152</v>
      </c>
      <c r="C20" s="21" t="s">
        <v>153</v>
      </c>
      <c r="D20" s="21" t="s">
        <v>154</v>
      </c>
      <c r="E20" s="21" t="s">
        <v>34</v>
      </c>
    </row>
    <row r="21" spans="1:5" x14ac:dyDescent="0.2">
      <c r="A21" s="29" t="s">
        <v>181</v>
      </c>
      <c r="B21" s="32" t="s">
        <v>182</v>
      </c>
      <c r="C21" s="38" t="str">
        <f>'1.5 ทดสอบรวมระบบ'!D12</f>
        <v/>
      </c>
      <c r="D21" s="32" t="str">
        <f>"ข้อมูลอ้างอิง"</f>
        <v>ข้อมูลอ้างอิง</v>
      </c>
      <c r="E21" s="32"/>
    </row>
    <row r="22" spans="1:5" ht="28" x14ac:dyDescent="0.2">
      <c r="A22" s="29" t="s">
        <v>183</v>
      </c>
      <c r="B22" s="32" t="s">
        <v>184</v>
      </c>
      <c r="C22" s="30" t="str">
        <f>'1.5 ทดสอบรวมระบบ'!B18</f>
        <v/>
      </c>
      <c r="D22" s="32" t="str">
        <f>"ข้อมูลอ้างอิง"</f>
        <v>ข้อมูลอ้างอิง</v>
      </c>
      <c r="E22" s="32" t="s">
        <v>185</v>
      </c>
    </row>
    <row r="23" spans="1:5" ht="28" x14ac:dyDescent="0.2">
      <c r="A23" s="29" t="s">
        <v>186</v>
      </c>
      <c r="B23" s="32" t="s">
        <v>187</v>
      </c>
      <c r="C23" s="32" t="str">
        <f>"-"</f>
        <v>-</v>
      </c>
      <c r="D23" s="32" t="str">
        <f>'1.5 ทดสอบรวมระบบ'!C28</f>
        <v>รอข้อมูล</v>
      </c>
      <c r="E23" s="32"/>
    </row>
    <row r="24" spans="1:5" x14ac:dyDescent="0.2">
      <c r="A24" s="29" t="s">
        <v>188</v>
      </c>
      <c r="B24" s="32" t="s">
        <v>189</v>
      </c>
      <c r="C24" s="38">
        <f>'1.5 ทดสอบรวมระบบ'!D35</f>
        <v>0</v>
      </c>
      <c r="D24" s="32" t="str">
        <f>"ข้อมูลอ้างอิง"</f>
        <v>ข้อมูลอ้างอิง</v>
      </c>
      <c r="E24" s="32"/>
    </row>
    <row r="26" spans="1:5" ht="18" customHeight="1" x14ac:dyDescent="0.2">
      <c r="A26" s="13" t="s">
        <v>190</v>
      </c>
      <c r="B26" s="13"/>
      <c r="C26" s="13"/>
      <c r="D26" s="13"/>
      <c r="E26" s="13"/>
    </row>
    <row r="27" spans="1:5" ht="15" customHeight="1" x14ac:dyDescent="0.2">
      <c r="A27" s="11" t="s">
        <v>191</v>
      </c>
      <c r="B27" s="11"/>
      <c r="C27" s="48" t="str">
        <f>IF(COUNTIF(D6:D23,"รอข้อมูล")&gt;0,"⏳ ยังทดสอบไม่ครบ ("&amp;COUNTIF(D6:D23,"รอข้อมูล")&amp;" หัวข้อรอข้อมูล)",IF(COUNTIF(D6:D23,"ไม่ผ่าน*")=0,"✓ ผ่านครบทุกหัวข้อ พร้อมสำหรับขั้นถัดไป","✗ มี "&amp;COUNTIF(D6:D23,"ไม่ผ่าน*")&amp;" หัวข้อที่ยังไม่ผ่าน ต้องแก้ก่อน"))</f>
        <v>⏳ ยังทดสอบไม่ครบ (11 หัวข้อรอข้อมูล)</v>
      </c>
      <c r="D27" s="48"/>
      <c r="E27" s="48"/>
    </row>
  </sheetData>
  <mergeCells count="6">
    <mergeCell ref="A1:E1"/>
    <mergeCell ref="A4:E4"/>
    <mergeCell ref="A19:E19"/>
    <mergeCell ref="A26:E26"/>
    <mergeCell ref="A27:B27"/>
    <mergeCell ref="C27:E27"/>
  </mergeCells>
  <conditionalFormatting sqref="D6:D23">
    <cfRule type="expression" dxfId="2" priority="2">
      <formula>LEFT(D6,2)="ผ่า"</formula>
    </cfRule>
    <cfRule type="expression" dxfId="1" priority="3">
      <formula>LEFT(D6,2)="ไม่"</formula>
    </cfRule>
    <cfRule type="expression" dxfId="0" priority="4">
      <formula>LEFT(D6,2)="รอ"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คู่มือการใช้งาน</vt:lpstr>
      <vt:lpstr>1.1 มอเตอร์ดูด</vt:lpstr>
      <vt:lpstr>1.2 การขับเคลื่อน</vt:lpstr>
      <vt:lpstr>1.3 การปัดกวาด</vt:lpstr>
      <vt:lpstr>1.4 Scissor Lift</vt:lpstr>
      <vt:lpstr>1.5 ทดสอบรวมระบบ</vt:lpstr>
      <vt:lpstr>สรุปผลรวม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DAIYAS WAEHAMA</cp:lastModifiedBy>
  <cp:revision>0</cp:revision>
  <dcterms:created xsi:type="dcterms:W3CDTF">2026-08-31T05:36:23Z</dcterms:created>
  <dcterms:modified xsi:type="dcterms:W3CDTF">2026-09-01T07:54:32Z</dcterms:modified>
  <dc:language>en-US</dc:language>
</cp:coreProperties>
</file>